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3" autoFilterDateGrouping="1"/>
  </bookViews>
  <sheets>
    <sheet name="Cover" sheetId="1" state="visible" r:id="rId1"/>
    <sheet name="Assumptions" sheetId="2" state="visible" r:id="rId2"/>
    <sheet name="DCF Model" sheetId="3" state="visible" r:id="rId3"/>
    <sheet name="Scenarios" sheetId="4" state="visible" r:id="rId4"/>
    <sheet name="Sensitivity" sheetId="5" state="visible" r:id="rId5"/>
    <sheet name="Output Summary" sheetId="6" state="visible" r:id="rId6"/>
    <sheet name="Comps" sheetId="7" state="visible" r:id="rId7"/>
  </sheets>
  <definedNames>
    <definedName name="_xlnm.Print_Area" localSheetId="5">'Output Summary'!$B$1:$E$36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.00_);_(* \(#,##0.00\);_(* &quot;-&quot;_);_(@_)"/>
    <numFmt numFmtId="165" formatCode="0.0%"/>
    <numFmt numFmtId="166" formatCode="&quot;Rs&quot;#,##0.00"/>
    <numFmt numFmtId="167" formatCode="0.000"/>
    <numFmt numFmtId="168" formatCode="mmmm\ d\,\ yyyy"/>
    <numFmt numFmtId="169" formatCode="0.0\x"/>
    <numFmt numFmtId="170" formatCode="0.0"/>
  </numFmts>
  <fonts count="41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0"/>
      <sz val="36"/>
      <scheme val="minor"/>
    </font>
    <font>
      <name val="Aptos Narrow"/>
      <color theme="0"/>
      <sz val="12"/>
      <scheme val="minor"/>
    </font>
    <font>
      <name val="Aptos Narrow"/>
      <b val="1"/>
      <color theme="0"/>
      <sz val="12"/>
      <scheme val="minor"/>
    </font>
    <font>
      <name val="Arial Unicode MS"/>
      <family val="2"/>
      <color theme="1"/>
      <sz val="10"/>
    </font>
    <font>
      <name val="Aptos Narrow"/>
      <b val="1"/>
      <color theme="1"/>
      <sz val="12"/>
      <scheme val="minor"/>
    </font>
    <font>
      <name val="Aptos Narrow"/>
      <b val="1"/>
      <color theme="4" tint="-0.249977111117893"/>
      <sz val="18"/>
      <scheme val="minor"/>
    </font>
    <font>
      <name val="Aptos Narrow"/>
      <family val="2"/>
      <color theme="4" tint="-0.249977111117893"/>
      <sz val="18"/>
      <scheme val="minor"/>
    </font>
    <font>
      <name val="Aptos Narrow"/>
      <family val="2"/>
      <sz val="8"/>
      <scheme val="minor"/>
    </font>
    <font>
      <name val="Aptos Narrow"/>
      <b val="1"/>
      <color rgb="FF104861"/>
      <sz val="18"/>
      <scheme val="minor"/>
    </font>
    <font>
      <name val="Aptos Narrow"/>
      <b val="1"/>
      <color rgb="FFFFFFFF"/>
      <sz val="12"/>
      <scheme val="minor"/>
    </font>
    <font>
      <name val="Aptos Narrow"/>
      <color theme="1"/>
      <sz val="12"/>
      <scheme val="minor"/>
    </font>
    <font>
      <name val="Aptos Narrow"/>
      <b val="1"/>
      <color theme="1"/>
      <sz val="12"/>
      <u val="single"/>
      <scheme val="minor"/>
    </font>
    <font>
      <name val="Aptos Narrow"/>
      <color rgb="FF0000FF"/>
      <sz val="12"/>
      <scheme val="minor"/>
    </font>
    <font>
      <name val="Aptos Narrow"/>
      <b val="1"/>
      <color rgb="FF002060"/>
      <sz val="18"/>
      <scheme val="minor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Aptos Narrow"/>
      <b val="1"/>
      <color rgb="FFFFFFFF"/>
      <sz val="11"/>
      <scheme val="minor"/>
    </font>
    <font>
      <name val="Aptos Narrow"/>
      <color theme="1"/>
      <sz val="11"/>
      <scheme val="minor"/>
    </font>
    <font>
      <name val="Aptos Narrow"/>
      <b val="1"/>
      <color theme="1"/>
      <sz val="11"/>
      <scheme val="minor"/>
    </font>
    <font>
      <name val="Aptos Narrow"/>
      <b val="1"/>
      <color rgb="FFFFFFFF"/>
      <sz val="10"/>
      <scheme val="minor"/>
    </font>
    <font>
      <name val="Aptos Narrow"/>
      <b val="1"/>
      <color rgb="FF002060"/>
      <sz val="24"/>
      <scheme val="minor"/>
    </font>
    <font>
      <name val="Aptos Narrow"/>
      <color rgb="FF666666"/>
      <sz val="11"/>
      <scheme val="minor"/>
    </font>
    <font>
      <name val="Aptos Narrow"/>
      <color rgb="FF666666"/>
      <sz val="12"/>
      <scheme val="minor"/>
    </font>
    <font>
      <name val="Aptos Narrow"/>
      <b val="1"/>
      <color rgb="FF002060"/>
      <sz val="11"/>
      <scheme val="minor"/>
    </font>
    <font>
      <name val="Aptos Narrow"/>
      <b val="1"/>
      <color rgb="FFC00000"/>
      <sz val="22"/>
      <scheme val="minor"/>
    </font>
    <font>
      <name val="Aptos Narrow"/>
      <color rgb="FFC00000"/>
      <sz val="10"/>
      <scheme val="minor"/>
    </font>
    <font>
      <name val="Aptos Narrow"/>
      <b val="1"/>
      <color rgb="FF333333"/>
      <sz val="22"/>
      <scheme val="minor"/>
    </font>
    <font>
      <name val="Aptos Narrow"/>
      <color rgb="FF333333"/>
      <sz val="10"/>
      <scheme val="minor"/>
    </font>
    <font>
      <name val="Aptos Narrow"/>
      <b val="1"/>
      <color rgb="FF006100"/>
      <sz val="22"/>
      <scheme val="minor"/>
    </font>
    <font>
      <name val="Aptos Narrow"/>
      <color rgb="FF006100"/>
      <sz val="10"/>
      <scheme val="minor"/>
    </font>
    <font>
      <name val="Aptos Narrow"/>
      <b val="1"/>
      <color rgb="FF002060"/>
      <sz val="13"/>
      <scheme val="minor"/>
    </font>
    <font>
      <name val="Aptos Narrow"/>
      <color rgb="FF008000"/>
      <sz val="11"/>
      <scheme val="minor"/>
    </font>
    <font>
      <name val="Aptos Narrow"/>
      <i val="1"/>
      <color rgb="FF808080"/>
      <sz val="10"/>
      <scheme val="minor"/>
    </font>
    <font>
      <name val="Aptos Narrow"/>
      <b val="1"/>
      <color rgb="FFFFFFFF"/>
      <sz val="9"/>
      <scheme val="minor"/>
    </font>
    <font>
      <name val="Aptos Narrow"/>
      <color rgb="FF999999"/>
      <sz val="8"/>
      <scheme val="minor"/>
    </font>
    <font>
      <name val="Calibri"/>
      <b val="1"/>
      <color rgb="001F3864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rgb="FFFFC000"/>
      </patternFill>
    </fill>
    <fill>
      <patternFill patternType="solid">
        <fgColor rgb="FFFFC00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BE5E5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61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medium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auto="1"/>
      </bottom>
      <diagonal/>
    </border>
    <border>
      <left style="thin">
        <color rgb="FF808080"/>
      </left>
      <right style="medium">
        <color auto="1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auto="1"/>
      </right>
      <top style="thin">
        <color rgb="FF808080"/>
      </top>
      <bottom style="medium">
        <color auto="1"/>
      </bottom>
      <diagonal/>
    </border>
    <border>
      <left style="thin">
        <color rgb="FF808080"/>
      </left>
      <right style="medium">
        <color auto="1"/>
      </right>
      <top/>
      <bottom style="thin">
        <color rgb="FF808080"/>
      </bottom>
      <diagonal/>
    </border>
    <border>
      <left style="thin">
        <color rgb="FF808080"/>
      </left>
      <right style="medium">
        <color auto="1"/>
      </right>
      <top style="medium">
        <color auto="1"/>
      </top>
      <bottom style="medium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auto="1"/>
      </top>
      <bottom style="medium">
        <color rgb="FF80808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rgb="FF808080"/>
      </right>
      <top style="thin">
        <color rgb="FF808080"/>
      </top>
      <bottom style="medium">
        <color auto="1"/>
      </bottom>
      <diagonal/>
    </border>
    <border>
      <left style="medium">
        <color auto="1"/>
      </left>
      <right style="medium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/>
      <right/>
      <top/>
      <bottom style="medium">
        <color rgb="FF002060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D6DCE4"/>
      </left>
      <right style="thin">
        <color rgb="FFD6DCE4"/>
      </right>
      <top/>
      <bottom style="thin">
        <color rgb="FFD6DCE4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/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808080"/>
      </bottom>
      <diagonal/>
    </border>
    <border>
      <left style="thin">
        <color rgb="FF808080"/>
      </left>
      <right style="thin">
        <color rgb="FFD6DCE4"/>
      </right>
      <top/>
      <bottom style="thin">
        <color rgb="FFD6DCE4"/>
      </bottom>
      <diagonal/>
    </border>
    <border>
      <left style="thin">
        <color rgb="FF808080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808080"/>
      </left>
      <right style="thin">
        <color rgb="FFD6DCE4"/>
      </right>
      <top style="thin">
        <color rgb="FFD6DCE4"/>
      </top>
      <bottom style="thin">
        <color rgb="FF808080"/>
      </bottom>
      <diagonal/>
    </border>
    <border>
      <left style="thin">
        <color rgb="FFD6DCE4"/>
      </left>
      <right style="thin">
        <color rgb="FF808080"/>
      </right>
      <top/>
      <bottom style="thin">
        <color rgb="FFD6DCE4"/>
      </bottom>
      <diagonal/>
    </border>
    <border>
      <left style="thin">
        <color rgb="FFD6DCE4"/>
      </left>
      <right style="thin">
        <color rgb="FF808080"/>
      </right>
      <top style="thin">
        <color rgb="FFD6DCE4"/>
      </top>
      <bottom style="thin">
        <color rgb="FFD6DCE4"/>
      </bottom>
      <diagonal/>
    </border>
    <border>
      <left style="thin">
        <color rgb="FFD6DCE4"/>
      </left>
      <right style="thin">
        <color rgb="FF808080"/>
      </right>
      <top style="thin">
        <color rgb="FFD6DCE4"/>
      </top>
      <bottom style="thin">
        <color rgb="FF808080"/>
      </bottom>
      <diagonal/>
    </border>
    <border>
      <left style="thin">
        <color rgb="FF808080"/>
      </left>
      <right style="thin">
        <color rgb="FFD6DCE4"/>
      </right>
      <top style="thin">
        <color rgb="FFD6DCE4"/>
      </top>
      <bottom/>
      <diagonal/>
    </border>
    <border>
      <left style="thin">
        <color rgb="FFD6DCE4"/>
      </left>
      <right style="thin">
        <color rgb="FF808080"/>
      </right>
      <top style="thin">
        <color rgb="FFD6DCE4"/>
      </top>
      <bottom/>
      <diagonal/>
    </border>
    <border>
      <left style="thin">
        <color rgb="FF808080"/>
      </left>
      <right style="thin">
        <color rgb="FFD6DCE4"/>
      </right>
      <top/>
      <bottom style="thin">
        <color rgb="FF808080"/>
      </bottom>
      <diagonal/>
    </border>
    <border>
      <left style="thin">
        <color rgb="FFD6DCE4"/>
      </left>
      <right style="thin">
        <color rgb="FFD6DCE4"/>
      </right>
      <top/>
      <bottom style="thin">
        <color rgb="FF808080"/>
      </bottom>
      <diagonal/>
    </border>
    <border>
      <left style="thin">
        <color rgb="FFD6DCE4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D6DCE4"/>
      </right>
      <top style="medium">
        <color rgb="FF002060"/>
      </top>
      <bottom style="thin">
        <color rgb="FFD6DCE4"/>
      </bottom>
      <diagonal/>
    </border>
    <border>
      <left style="thin">
        <color rgb="FFD6DCE4"/>
      </left>
      <right style="thin">
        <color rgb="FFD6DCE4"/>
      </right>
      <top style="medium">
        <color rgb="FF002060"/>
      </top>
      <bottom style="thin">
        <color rgb="FFD6DCE4"/>
      </bottom>
      <diagonal/>
    </border>
    <border>
      <left style="thin">
        <color rgb="FFD6DCE4"/>
      </left>
      <right style="thin">
        <color rgb="FF808080"/>
      </right>
      <top style="medium">
        <color rgb="FF002060"/>
      </top>
      <bottom style="thin">
        <color rgb="FFD6DCE4"/>
      </bottom>
      <diagonal/>
    </border>
    <border>
      <right style="thin">
        <color rgb="00BFBFBF"/>
      </right>
      <bottom style="thin">
        <color rgb="00BFBFBF"/>
      </bottom>
    </border>
  </borders>
  <cellStyleXfs count="2">
    <xf numFmtId="0" fontId="1" fillId="0" borderId="0"/>
    <xf numFmtId="41" fontId="1" fillId="0" borderId="0"/>
  </cellStyleXfs>
  <cellXfs count="188">
    <xf numFmtId="0" fontId="0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14" fontId="3" fillId="2" borderId="0" applyAlignment="1" pivotButton="0" quotePrefix="0" xfId="0">
      <alignment horizontal="left"/>
    </xf>
    <xf numFmtId="0" fontId="3" fillId="3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0" fillId="0" borderId="1" pivotButton="0" quotePrefix="0" xfId="0"/>
    <xf numFmtId="9" fontId="0" fillId="4" borderId="1" pivotButton="0" quotePrefix="0" xfId="0"/>
    <xf numFmtId="10" fontId="0" fillId="4" borderId="1" pivotButton="0" quotePrefix="0" xfId="0"/>
    <xf numFmtId="2" fontId="0" fillId="4" borderId="1" pivotButton="0" quotePrefix="0" xfId="0"/>
    <xf numFmtId="1" fontId="0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0" fillId="0" borderId="0" pivotButton="0" quotePrefix="0" xfId="1"/>
    <xf numFmtId="43" fontId="0" fillId="0" borderId="0" pivotButton="0" quotePrefix="0" xfId="0"/>
    <xf numFmtId="0" fontId="10" fillId="0" borderId="0" pivotButton="0" quotePrefix="0" xfId="0"/>
    <xf numFmtId="0" fontId="11" fillId="2" borderId="0" pivotButton="0" quotePrefix="0" xfId="0"/>
    <xf numFmtId="0" fontId="11" fillId="2" borderId="0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  <xf numFmtId="165" fontId="14" fillId="4" borderId="2" pivotButton="0" quotePrefix="0" xfId="0"/>
    <xf numFmtId="165" fontId="14" fillId="4" borderId="3" pivotButton="0" quotePrefix="0" xfId="0"/>
    <xf numFmtId="2" fontId="14" fillId="4" borderId="2" pivotButton="0" quotePrefix="0" xfId="0"/>
    <xf numFmtId="2" fontId="14" fillId="4" borderId="3" pivotButton="0" quotePrefix="0" xfId="0"/>
    <xf numFmtId="2" fontId="14" fillId="4" borderId="4" pivotButton="0" quotePrefix="0" xfId="0"/>
    <xf numFmtId="2" fontId="14" fillId="4" borderId="5" pivotButton="0" quotePrefix="0" xfId="0"/>
    <xf numFmtId="1" fontId="14" fillId="4" borderId="6" pivotButton="0" quotePrefix="0" xfId="0"/>
    <xf numFmtId="1" fontId="14" fillId="4" borderId="7" pivotButton="0" quotePrefix="0" xfId="0"/>
    <xf numFmtId="2" fontId="14" fillId="4" borderId="8" pivotButton="0" quotePrefix="0" xfId="0"/>
    <xf numFmtId="165" fontId="14" fillId="4" borderId="9" pivotButton="0" quotePrefix="0" xfId="0"/>
    <xf numFmtId="2" fontId="14" fillId="4" borderId="9" pivotButton="0" quotePrefix="0" xfId="0"/>
    <xf numFmtId="1" fontId="14" fillId="4" borderId="10" pivotButton="0" quotePrefix="0" xfId="0"/>
    <xf numFmtId="164" fontId="12" fillId="0" borderId="11" pivotButton="0" quotePrefix="0" xfId="0"/>
    <xf numFmtId="164" fontId="12" fillId="0" borderId="12" pivotButton="0" quotePrefix="0" xfId="0"/>
    <xf numFmtId="164" fontId="12" fillId="0" borderId="13" pivotButton="0" quotePrefix="0" xfId="0"/>
    <xf numFmtId="164" fontId="12" fillId="0" borderId="1" pivotButton="0" quotePrefix="0" xfId="0"/>
    <xf numFmtId="164" fontId="12" fillId="0" borderId="14" pivotButton="0" quotePrefix="0" xfId="0"/>
    <xf numFmtId="164" fontId="12" fillId="0" borderId="15" pivotButton="0" quotePrefix="0" xfId="0"/>
    <xf numFmtId="0" fontId="0" fillId="0" borderId="13" pivotButton="0" quotePrefix="0" xfId="0"/>
    <xf numFmtId="0" fontId="0" fillId="0" borderId="15" pivotButton="0" quotePrefix="0" xfId="0"/>
    <xf numFmtId="164" fontId="6" fillId="5" borderId="17" pivotButton="0" quotePrefix="0" xfId="0"/>
    <xf numFmtId="1" fontId="12" fillId="0" borderId="15" pivotButton="0" quotePrefix="0" xfId="0"/>
    <xf numFmtId="166" fontId="6" fillId="5" borderId="17" pivotButton="0" quotePrefix="0" xfId="0"/>
    <xf numFmtId="0" fontId="12" fillId="0" borderId="18" pivotButton="0" quotePrefix="0" xfId="0"/>
    <xf numFmtId="0" fontId="0" fillId="0" borderId="14" pivotButton="0" quotePrefix="0" xfId="0"/>
    <xf numFmtId="164" fontId="6" fillId="5" borderId="16" pivotButton="0" quotePrefix="0" xfId="0"/>
    <xf numFmtId="1" fontId="12" fillId="0" borderId="14" pivotButton="0" quotePrefix="0" xfId="0"/>
    <xf numFmtId="166" fontId="6" fillId="5" borderId="16" pivotButton="0" quotePrefix="0" xfId="0"/>
    <xf numFmtId="0" fontId="0" fillId="0" borderId="18" pivotButton="0" quotePrefix="0" xfId="0"/>
    <xf numFmtId="0" fontId="6" fillId="5" borderId="16" pivotButton="0" quotePrefix="0" xfId="0"/>
    <xf numFmtId="0" fontId="6" fillId="0" borderId="19" pivotButton="0" quotePrefix="0" xfId="0"/>
    <xf numFmtId="164" fontId="6" fillId="0" borderId="16" pivotButton="0" quotePrefix="0" xfId="0"/>
    <xf numFmtId="164" fontId="6" fillId="0" borderId="17" pivotButton="0" quotePrefix="0" xfId="0"/>
    <xf numFmtId="0" fontId="15" fillId="0" borderId="0" pivotButton="0" quotePrefix="0" xfId="0"/>
    <xf numFmtId="167" fontId="14" fillId="4" borderId="0" pivotButton="0" quotePrefix="0" xfId="0"/>
    <xf numFmtId="0" fontId="19" fillId="0" borderId="0" pivotButton="0" quotePrefix="0" xfId="0"/>
    <xf numFmtId="164" fontId="19" fillId="0" borderId="24" applyAlignment="1" pivotButton="0" quotePrefix="0" xfId="0">
      <alignment horizontal="center"/>
    </xf>
    <xf numFmtId="164" fontId="19" fillId="0" borderId="25" applyAlignment="1" pivotButton="0" quotePrefix="0" xfId="0">
      <alignment horizontal="center"/>
    </xf>
    <xf numFmtId="164" fontId="19" fillId="0" borderId="26" applyAlignment="1" pivotButton="0" quotePrefix="0" xfId="0">
      <alignment horizontal="center"/>
    </xf>
    <xf numFmtId="164" fontId="19" fillId="0" borderId="29" applyAlignment="1" pivotButton="0" quotePrefix="0" xfId="0">
      <alignment horizontal="center"/>
    </xf>
    <xf numFmtId="164" fontId="19" fillId="0" borderId="30" applyAlignment="1" pivotButton="0" quotePrefix="0" xfId="0">
      <alignment horizontal="center"/>
    </xf>
    <xf numFmtId="164" fontId="19" fillId="0" borderId="31" applyAlignment="1" pivotButton="0" quotePrefix="0" xfId="0">
      <alignment horizontal="center"/>
    </xf>
    <xf numFmtId="164" fontId="19" fillId="0" borderId="21" applyAlignment="1" pivotButton="0" quotePrefix="0" xfId="0">
      <alignment horizontal="center"/>
    </xf>
    <xf numFmtId="164" fontId="19" fillId="0" borderId="32" applyAlignment="1" pivotButton="0" quotePrefix="0" xfId="0">
      <alignment horizontal="center"/>
    </xf>
    <xf numFmtId="165" fontId="18" fillId="2" borderId="34" applyAlignment="1" pivotButton="0" quotePrefix="0" xfId="0">
      <alignment horizontal="center"/>
    </xf>
    <xf numFmtId="165" fontId="18" fillId="2" borderId="33" applyAlignment="1" pivotButton="0" quotePrefix="0" xfId="0">
      <alignment horizontal="center"/>
    </xf>
    <xf numFmtId="164" fontId="19" fillId="0" borderId="20" applyAlignment="1" pivotButton="0" quotePrefix="0" xfId="0">
      <alignment horizontal="center"/>
    </xf>
    <xf numFmtId="164" fontId="19" fillId="0" borderId="23" applyAlignment="1" pivotButton="0" quotePrefix="0" xfId="0">
      <alignment horizontal="center"/>
    </xf>
    <xf numFmtId="164" fontId="19" fillId="0" borderId="28" applyAlignment="1" pivotButton="0" quotePrefix="0" xfId="0">
      <alignment horizontal="center"/>
    </xf>
    <xf numFmtId="0" fontId="18" fillId="2" borderId="35" applyAlignment="1" pivotButton="0" quotePrefix="0" xfId="0">
      <alignment horizontal="center"/>
    </xf>
    <xf numFmtId="165" fontId="18" fillId="2" borderId="37" applyAlignment="1" pivotButton="0" quotePrefix="0" xfId="0">
      <alignment horizontal="center"/>
    </xf>
    <xf numFmtId="165" fontId="18" fillId="2" borderId="36" applyAlignment="1" pivotButton="0" quotePrefix="0" xfId="0">
      <alignment horizontal="center"/>
    </xf>
    <xf numFmtId="164" fontId="20" fillId="0" borderId="38" applyAlignment="1" pivotButton="0" quotePrefix="0" xfId="0">
      <alignment horizontal="center"/>
    </xf>
    <xf numFmtId="0" fontId="21" fillId="2" borderId="0" applyAlignment="1" pivotButton="0" quotePrefix="0" xfId="0">
      <alignment horizontal="left"/>
    </xf>
    <xf numFmtId="0" fontId="19" fillId="2" borderId="0" pivotButton="0" quotePrefix="0" xfId="0"/>
    <xf numFmtId="0" fontId="22" fillId="0" borderId="0" pivotButton="0" quotePrefix="0" xfId="0"/>
    <xf numFmtId="0" fontId="24" fillId="0" borderId="0" pivotButton="0" quotePrefix="0" xfId="0"/>
    <xf numFmtId="0" fontId="23" fillId="0" borderId="0" applyAlignment="1" pivotButton="0" quotePrefix="0" xfId="0">
      <alignment horizontal="right"/>
    </xf>
    <xf numFmtId="0" fontId="25" fillId="0" borderId="0" pivotButton="0" quotePrefix="0" xfId="0"/>
    <xf numFmtId="168" fontId="25" fillId="0" borderId="0" pivotButton="0" quotePrefix="0" xfId="0"/>
    <xf numFmtId="0" fontId="19" fillId="0" borderId="39" pivotButton="0" quotePrefix="0" xfId="0"/>
    <xf numFmtId="0" fontId="19" fillId="12" borderId="0" pivotButton="0" quotePrefix="0" xfId="0"/>
    <xf numFmtId="0" fontId="34" fillId="0" borderId="0" pivotButton="0" quotePrefix="0" xfId="0"/>
    <xf numFmtId="0" fontId="25" fillId="12" borderId="42" applyAlignment="1" pivotButton="0" quotePrefix="0" xfId="0">
      <alignment horizontal="center"/>
    </xf>
    <xf numFmtId="165" fontId="33" fillId="0" borderId="43" applyAlignment="1" pivotButton="0" quotePrefix="0" xfId="0">
      <alignment horizontal="center"/>
    </xf>
    <xf numFmtId="0" fontId="25" fillId="12" borderId="46" pivotButton="0" quotePrefix="0" xfId="0"/>
    <xf numFmtId="0" fontId="19" fillId="0" borderId="47" pivotButton="0" quotePrefix="0" xfId="0"/>
    <xf numFmtId="0" fontId="25" fillId="12" borderId="49" pivotButton="0" quotePrefix="0" xfId="0"/>
    <xf numFmtId="0" fontId="34" fillId="0" borderId="50" pivotButton="0" quotePrefix="0" xfId="0"/>
    <xf numFmtId="0" fontId="19" fillId="9" borderId="47" pivotButton="0" quotePrefix="0" xfId="0"/>
    <xf numFmtId="165" fontId="33" fillId="9" borderId="43" applyAlignment="1" pivotButton="0" quotePrefix="0" xfId="0">
      <alignment horizontal="center"/>
    </xf>
    <xf numFmtId="0" fontId="34" fillId="9" borderId="50" pivotButton="0" quotePrefix="0" xfId="0"/>
    <xf numFmtId="0" fontId="19" fillId="9" borderId="48" pivotButton="0" quotePrefix="0" xfId="0"/>
    <xf numFmtId="0" fontId="19" fillId="9" borderId="45" applyAlignment="1" pivotButton="0" quotePrefix="0" xfId="0">
      <alignment horizontal="center"/>
    </xf>
    <xf numFmtId="0" fontId="34" fillId="9" borderId="51" pivotButton="0" quotePrefix="0" xfId="0"/>
    <xf numFmtId="169" fontId="19" fillId="13" borderId="43" applyAlignment="1" pivotButton="0" quotePrefix="0" xfId="0">
      <alignment horizontal="center"/>
    </xf>
    <xf numFmtId="0" fontId="19" fillId="2" borderId="43" pivotButton="0" quotePrefix="0" xfId="0"/>
    <xf numFmtId="0" fontId="19" fillId="13" borderId="47" pivotButton="0" quotePrefix="0" xfId="0"/>
    <xf numFmtId="0" fontId="11" fillId="2" borderId="47" pivotButton="0" quotePrefix="0" xfId="0"/>
    <xf numFmtId="0" fontId="25" fillId="12" borderId="49" applyAlignment="1" pivotButton="0" quotePrefix="0" xfId="0">
      <alignment horizontal="center"/>
    </xf>
    <xf numFmtId="169" fontId="19" fillId="13" borderId="50" applyAlignment="1" pivotButton="0" quotePrefix="0" xfId="0">
      <alignment horizontal="center"/>
    </xf>
    <xf numFmtId="0" fontId="19" fillId="2" borderId="50" pivotButton="0" quotePrefix="0" xfId="0"/>
    <xf numFmtId="169" fontId="19" fillId="9" borderId="43" applyAlignment="1" pivotButton="0" quotePrefix="0" xfId="0">
      <alignment horizontal="center"/>
    </xf>
    <xf numFmtId="169" fontId="19" fillId="9" borderId="50" applyAlignment="1" pivotButton="0" quotePrefix="0" xfId="0">
      <alignment horizontal="center"/>
    </xf>
    <xf numFmtId="0" fontId="25" fillId="9" borderId="47" pivotButton="0" quotePrefix="0" xfId="0"/>
    <xf numFmtId="0" fontId="25" fillId="9" borderId="43" applyAlignment="1" pivotButton="0" quotePrefix="0" xfId="0">
      <alignment horizontal="center"/>
    </xf>
    <xf numFmtId="0" fontId="25" fillId="9" borderId="50" applyAlignment="1" pivotButton="0" quotePrefix="0" xfId="0">
      <alignment horizontal="center"/>
    </xf>
    <xf numFmtId="0" fontId="19" fillId="9" borderId="43" pivotButton="0" quotePrefix="0" xfId="0"/>
    <xf numFmtId="0" fontId="19" fillId="9" borderId="50" pivotButton="0" quotePrefix="0" xfId="0"/>
    <xf numFmtId="0" fontId="19" fillId="0" borderId="52" pivotButton="0" quotePrefix="0" xfId="0"/>
    <xf numFmtId="0" fontId="19" fillId="0" borderId="44" pivotButton="0" quotePrefix="0" xfId="0"/>
    <xf numFmtId="0" fontId="19" fillId="0" borderId="53" pivotButton="0" quotePrefix="0" xfId="0"/>
    <xf numFmtId="0" fontId="25" fillId="12" borderId="54" pivotButton="0" quotePrefix="0" xfId="0"/>
    <xf numFmtId="169" fontId="25" fillId="12" borderId="55" applyAlignment="1" pivotButton="0" quotePrefix="0" xfId="0">
      <alignment horizontal="center"/>
    </xf>
    <xf numFmtId="169" fontId="25" fillId="12" borderId="56" applyAlignment="1" pivotButton="0" quotePrefix="0" xfId="0">
      <alignment horizontal="center"/>
    </xf>
    <xf numFmtId="0" fontId="25" fillId="12" borderId="57" pivotButton="0" quotePrefix="0" xfId="0"/>
    <xf numFmtId="169" fontId="25" fillId="12" borderId="58" applyAlignment="1" pivotButton="0" quotePrefix="0" xfId="0">
      <alignment horizontal="center"/>
    </xf>
    <xf numFmtId="169" fontId="25" fillId="12" borderId="59" applyAlignment="1" pivotButton="0" quotePrefix="0" xfId="0">
      <alignment horizontal="center"/>
    </xf>
    <xf numFmtId="0" fontId="35" fillId="2" borderId="0" pivotButton="0" quotePrefix="0" xfId="0"/>
    <xf numFmtId="0" fontId="36" fillId="0" borderId="0" pivotButton="0" quotePrefix="0" xfId="0"/>
    <xf numFmtId="170" fontId="26" fillId="7" borderId="40" applyAlignment="1" pivotButton="0" quotePrefix="0" xfId="0">
      <alignment horizontal="center" vertical="center"/>
    </xf>
    <xf numFmtId="170" fontId="28" fillId="9" borderId="40" applyAlignment="1" pivotButton="0" quotePrefix="0" xfId="0">
      <alignment horizontal="center" vertical="center"/>
    </xf>
    <xf numFmtId="170" fontId="30" fillId="11" borderId="40" applyAlignment="1" pivotButton="0" quotePrefix="0" xfId="0">
      <alignment horizontal="center" vertical="center"/>
    </xf>
    <xf numFmtId="0" fontId="18" fillId="6" borderId="27" applyAlignment="1" pivotButton="0" quotePrefix="0" xfId="0">
      <alignment horizontal="center" vertical="center"/>
    </xf>
    <xf numFmtId="0" fontId="18" fillId="8" borderId="27" applyAlignment="1" pivotButton="0" quotePrefix="0" xfId="0">
      <alignment horizontal="center" vertical="center"/>
    </xf>
    <xf numFmtId="0" fontId="18" fillId="10" borderId="27" applyAlignment="1" pivotButton="0" quotePrefix="0" xfId="0">
      <alignment horizontal="center" vertical="center"/>
    </xf>
    <xf numFmtId="0" fontId="25" fillId="0" borderId="26" applyAlignment="1" pivotButton="0" quotePrefix="0" xfId="0">
      <alignment horizontal="center" vertical="center"/>
    </xf>
    <xf numFmtId="0" fontId="23" fillId="0" borderId="41" applyAlignment="1" pivotButton="0" quotePrefix="0" xfId="0">
      <alignment horizontal="center" vertical="center"/>
    </xf>
    <xf numFmtId="0" fontId="27" fillId="7" borderId="22" applyAlignment="1" pivotButton="0" quotePrefix="0" xfId="0">
      <alignment horizontal="center" vertical="center"/>
    </xf>
    <xf numFmtId="0" fontId="29" fillId="9" borderId="22" applyAlignment="1" pivotButton="0" quotePrefix="0" xfId="0">
      <alignment horizontal="center" vertical="center"/>
    </xf>
    <xf numFmtId="0" fontId="31" fillId="11" borderId="22" applyAlignment="1" pivotButton="0" quotePrefix="0" xfId="0">
      <alignment horizontal="center" vertical="center"/>
    </xf>
    <xf numFmtId="0" fontId="32" fillId="0" borderId="21" applyAlignment="1" pivotButton="0" quotePrefix="0" xfId="0">
      <alignment horizontal="center" vertical="center"/>
    </xf>
    <xf numFmtId="164" fontId="0" fillId="0" borderId="0" pivotButton="0" quotePrefix="0" xfId="1"/>
    <xf numFmtId="165" fontId="14" fillId="4" borderId="2" pivotButton="0" quotePrefix="0" xfId="0"/>
    <xf numFmtId="165" fontId="14" fillId="4" borderId="3" pivotButton="0" quotePrefix="0" xfId="0"/>
    <xf numFmtId="165" fontId="14" fillId="4" borderId="9" pivotButton="0" quotePrefix="0" xfId="0"/>
    <xf numFmtId="164" fontId="12" fillId="0" borderId="13" pivotButton="0" quotePrefix="0" xfId="0"/>
    <xf numFmtId="164" fontId="12" fillId="0" borderId="1" pivotButton="0" quotePrefix="0" xfId="0"/>
    <xf numFmtId="164" fontId="12" fillId="0" borderId="14" pivotButton="0" quotePrefix="0" xfId="0"/>
    <xf numFmtId="164" fontId="12" fillId="0" borderId="15" pivotButton="0" quotePrefix="0" xfId="0"/>
    <xf numFmtId="164" fontId="6" fillId="0" borderId="16" pivotButton="0" quotePrefix="0" xfId="0"/>
    <xf numFmtId="164" fontId="6" fillId="0" borderId="17" pivotButton="0" quotePrefix="0" xfId="0"/>
    <xf numFmtId="164" fontId="6" fillId="5" borderId="16" pivotButton="0" quotePrefix="0" xfId="0"/>
    <xf numFmtId="164" fontId="6" fillId="5" borderId="17" pivotButton="0" quotePrefix="0" xfId="0"/>
    <xf numFmtId="164" fontId="12" fillId="0" borderId="11" pivotButton="0" quotePrefix="0" xfId="0"/>
    <xf numFmtId="164" fontId="12" fillId="0" borderId="12" pivotButton="0" quotePrefix="0" xfId="0"/>
    <xf numFmtId="166" fontId="6" fillId="5" borderId="16" pivotButton="0" quotePrefix="0" xfId="0"/>
    <xf numFmtId="166" fontId="6" fillId="5" borderId="17" pivotButton="0" quotePrefix="0" xfId="0"/>
    <xf numFmtId="167" fontId="14" fillId="4" borderId="0" pivotButton="0" quotePrefix="0" xfId="0"/>
    <xf numFmtId="165" fontId="18" fillId="2" borderId="34" applyAlignment="1" pivotButton="0" quotePrefix="0" xfId="0">
      <alignment horizontal="center"/>
    </xf>
    <xf numFmtId="165" fontId="18" fillId="2" borderId="33" applyAlignment="1" pivotButton="0" quotePrefix="0" xfId="0">
      <alignment horizontal="center"/>
    </xf>
    <xf numFmtId="165" fontId="18" fillId="2" borderId="37" applyAlignment="1" pivotButton="0" quotePrefix="0" xfId="0">
      <alignment horizontal="center"/>
    </xf>
    <xf numFmtId="164" fontId="19" fillId="0" borderId="20" applyAlignment="1" pivotButton="0" quotePrefix="0" xfId="0">
      <alignment horizontal="center"/>
    </xf>
    <xf numFmtId="164" fontId="19" fillId="0" borderId="21" applyAlignment="1" pivotButton="0" quotePrefix="0" xfId="0">
      <alignment horizontal="center"/>
    </xf>
    <xf numFmtId="164" fontId="19" fillId="0" borderId="32" applyAlignment="1" pivotButton="0" quotePrefix="0" xfId="0">
      <alignment horizontal="center"/>
    </xf>
    <xf numFmtId="164" fontId="19" fillId="0" borderId="23" applyAlignment="1" pivotButton="0" quotePrefix="0" xfId="0">
      <alignment horizontal="center"/>
    </xf>
    <xf numFmtId="164" fontId="19" fillId="0" borderId="24" applyAlignment="1" pivotButton="0" quotePrefix="0" xfId="0">
      <alignment horizontal="center"/>
    </xf>
    <xf numFmtId="164" fontId="19" fillId="0" borderId="30" applyAlignment="1" pivotButton="0" quotePrefix="0" xfId="0">
      <alignment horizontal="center"/>
    </xf>
    <xf numFmtId="164" fontId="19" fillId="0" borderId="26" applyAlignment="1" pivotButton="0" quotePrefix="0" xfId="0">
      <alignment horizontal="center"/>
    </xf>
    <xf numFmtId="164" fontId="19" fillId="0" borderId="25" applyAlignment="1" pivotButton="0" quotePrefix="0" xfId="0">
      <alignment horizontal="center"/>
    </xf>
    <xf numFmtId="164" fontId="20" fillId="0" borderId="38" applyAlignment="1" pivotButton="0" quotePrefix="0" xfId="0">
      <alignment horizontal="center"/>
    </xf>
    <xf numFmtId="165" fontId="18" fillId="2" borderId="36" applyAlignment="1" pivotButton="0" quotePrefix="0" xfId="0">
      <alignment horizontal="center"/>
    </xf>
    <xf numFmtId="164" fontId="19" fillId="0" borderId="28" applyAlignment="1" pivotButton="0" quotePrefix="0" xfId="0">
      <alignment horizontal="center"/>
    </xf>
    <xf numFmtId="164" fontId="19" fillId="0" borderId="29" applyAlignment="1" pivotButton="0" quotePrefix="0" xfId="0">
      <alignment horizontal="center"/>
    </xf>
    <xf numFmtId="164" fontId="19" fillId="0" borderId="31" applyAlignment="1" pivotButton="0" quotePrefix="0" xfId="0">
      <alignment horizontal="center"/>
    </xf>
    <xf numFmtId="168" fontId="25" fillId="0" borderId="0" pivotButton="0" quotePrefix="0" xfId="0"/>
    <xf numFmtId="170" fontId="26" fillId="7" borderId="40" applyAlignment="1" pivotButton="0" quotePrefix="0" xfId="0">
      <alignment horizontal="center" vertical="center"/>
    </xf>
    <xf numFmtId="170" fontId="28" fillId="9" borderId="40" applyAlignment="1" pivotButton="0" quotePrefix="0" xfId="0">
      <alignment horizontal="center" vertical="center"/>
    </xf>
    <xf numFmtId="170" fontId="30" fillId="11" borderId="40" applyAlignment="1" pivotButton="0" quotePrefix="0" xfId="0">
      <alignment horizontal="center" vertical="center"/>
    </xf>
    <xf numFmtId="165" fontId="33" fillId="9" borderId="43" applyAlignment="1" pivotButton="0" quotePrefix="0" xfId="0">
      <alignment horizontal="center"/>
    </xf>
    <xf numFmtId="165" fontId="33" fillId="0" borderId="43" applyAlignment="1" pivotButton="0" quotePrefix="0" xfId="0">
      <alignment horizontal="center"/>
    </xf>
    <xf numFmtId="169" fontId="19" fillId="9" borderId="43" applyAlignment="1" pivotButton="0" quotePrefix="0" xfId="0">
      <alignment horizontal="center"/>
    </xf>
    <xf numFmtId="169" fontId="19" fillId="9" borderId="50" applyAlignment="1" pivotButton="0" quotePrefix="0" xfId="0">
      <alignment horizontal="center"/>
    </xf>
    <xf numFmtId="169" fontId="19" fillId="13" borderId="43" applyAlignment="1" pivotButton="0" quotePrefix="0" xfId="0">
      <alignment horizontal="center"/>
    </xf>
    <xf numFmtId="169" fontId="19" fillId="13" borderId="50" applyAlignment="1" pivotButton="0" quotePrefix="0" xfId="0">
      <alignment horizontal="center"/>
    </xf>
    <xf numFmtId="169" fontId="25" fillId="12" borderId="58" applyAlignment="1" pivotButton="0" quotePrefix="0" xfId="0">
      <alignment horizontal="center"/>
    </xf>
    <xf numFmtId="169" fontId="25" fillId="12" borderId="59" applyAlignment="1" pivotButton="0" quotePrefix="0" xfId="0">
      <alignment horizontal="center"/>
    </xf>
    <xf numFmtId="169" fontId="25" fillId="12" borderId="55" applyAlignment="1" pivotButton="0" quotePrefix="0" xfId="0">
      <alignment horizontal="center"/>
    </xf>
    <xf numFmtId="169" fontId="25" fillId="12" borderId="56" applyAlignment="1" pivotButton="0" quotePrefix="0" xfId="0">
      <alignment horizontal="center"/>
    </xf>
    <xf numFmtId="0" fontId="37" fillId="0" borderId="0" applyAlignment="1" pivotButton="0" quotePrefix="0" xfId="0">
      <alignment horizontal="left" vertical="center"/>
    </xf>
    <xf numFmtId="0" fontId="38" fillId="14" borderId="60" applyAlignment="1" pivotButton="0" quotePrefix="0" xfId="0">
      <alignment horizontal="center" vertical="center"/>
    </xf>
    <xf numFmtId="0" fontId="39" fillId="0" borderId="60" applyAlignment="1" pivotButton="0" quotePrefix="0" xfId="0">
      <alignment horizontal="left" vertical="center"/>
    </xf>
    <xf numFmtId="0" fontId="39" fillId="0" borderId="60" applyAlignment="1" pivotButton="0" quotePrefix="0" xfId="0">
      <alignment horizontal="center" vertical="center"/>
    </xf>
    <xf numFmtId="0" fontId="40" fillId="15" borderId="60" applyAlignment="1" pivotButton="0" quotePrefix="0" xfId="0">
      <alignment horizontal="left" vertical="center"/>
    </xf>
    <xf numFmtId="0" fontId="40" fillId="15" borderId="60" applyAlignment="1" pivotButton="0" quotePrefix="0" xfId="0">
      <alignment horizontal="center" vertical="center"/>
    </xf>
  </cellXfs>
  <cellStyles count="2">
    <cellStyle name="Normal" xfId="0" builtinId="0"/>
    <cellStyle name="Comma [0]" xfId="1" builtinId="6"/>
  </cellStyles>
  <dxfs count="3"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006100"/>
      </font>
      <fill>
        <patternFill patternType="solid">
          <fgColor indexed="64"/>
          <bgColor rgb="FFD9EAD3"/>
        </patternFill>
      </fill>
    </dxf>
    <dxf>
      <font>
        <color rgb="FFCC0000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Saad Rashid</author>
  </authors>
  <commentList>
    <comment ref="C4" authorId="0" shapeId="0">
      <text>
        <t>Saad Rashid:
Hardcoded from DCF Model G13. Link to Assumptions or DCF Model tab when ready.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C9"/>
  <sheetViews>
    <sheetView showGridLines="0" workbookViewId="0">
      <selection activeCell="C12" sqref="C12"/>
    </sheetView>
  </sheetViews>
  <sheetFormatPr baseColWidth="10" defaultRowHeight="16"/>
  <cols>
    <col width="10.83203125" customWidth="1" style="2" min="1" max="2"/>
    <col width="57" bestFit="1" customWidth="1" style="2" min="3" max="3"/>
    <col width="10.83203125" customWidth="1" style="2" min="4" max="16384"/>
  </cols>
  <sheetData>
    <row r="4">
      <c r="C4" s="5" t="n"/>
    </row>
    <row r="5" ht="47" customHeight="1">
      <c r="C5" s="1" t="inlineStr">
        <is>
          <t>DCF Valuation Engine</t>
        </is>
      </c>
    </row>
    <row r="6">
      <c r="C6" s="3" t="inlineStr">
        <is>
          <t xml:space="preserve">Professional business valuation model </t>
        </is>
      </c>
    </row>
    <row r="7">
      <c r="C7" s="3" t="inlineStr">
        <is>
          <t>Saad Rashid, CFA</t>
        </is>
      </c>
    </row>
    <row r="8">
      <c r="C8" s="4">
        <f>TODAY()</f>
        <v/>
      </c>
    </row>
    <row r="9">
      <c r="C9" s="2" t="inlineStr">
        <is>
          <t>Confidential — For Discussion Purposes Only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B27" sqref="B27"/>
    </sheetView>
  </sheetViews>
  <sheetFormatPr baseColWidth="10" defaultRowHeight="16"/>
  <cols>
    <col width="44.6640625" bestFit="1" customWidth="1" min="2" max="2"/>
    <col width="15.5" bestFit="1" customWidth="1" min="3" max="3"/>
  </cols>
  <sheetData>
    <row r="2" ht="24" customHeight="1">
      <c r="B2" s="14" t="inlineStr">
        <is>
          <t>Model assumptions</t>
        </is>
      </c>
    </row>
    <row r="4">
      <c r="B4" t="inlineStr">
        <is>
          <t>Input</t>
        </is>
      </c>
    </row>
    <row r="6">
      <c r="B6" t="inlineStr">
        <is>
          <t>Company Name</t>
        </is>
      </c>
      <c r="C6" s="7" t="inlineStr">
        <is>
          <t>CloudMetrics Inc.</t>
        </is>
      </c>
    </row>
    <row r="7">
      <c r="C7" s="8" t="n"/>
    </row>
    <row r="8">
      <c r="B8" t="inlineStr">
        <is>
          <t xml:space="preserve">Base Revenue </t>
        </is>
      </c>
      <c r="C8" s="7" t="n">
        <v>2</v>
      </c>
    </row>
    <row r="9">
      <c r="B9" t="inlineStr">
        <is>
          <t>Revenue Growth Y1 - Y5</t>
        </is>
      </c>
      <c r="C9" s="9" t="n">
        <v>0.35</v>
      </c>
    </row>
    <row r="10">
      <c r="B10" t="inlineStr">
        <is>
          <t>Terminal Growth Rate</t>
        </is>
      </c>
      <c r="C10" s="10" t="n">
        <v>0.035</v>
      </c>
    </row>
    <row r="11">
      <c r="B11" t="inlineStr">
        <is>
          <t>EBITDA Margin</t>
        </is>
      </c>
      <c r="C11" s="9" t="n">
        <v>0.18</v>
      </c>
    </row>
    <row r="12">
      <c r="B12" t="inlineStr">
        <is>
          <t>D&amp;A as % of Revenue</t>
        </is>
      </c>
      <c r="C12" s="9" t="n">
        <v>0.05</v>
      </c>
    </row>
    <row r="13">
      <c r="B13" t="inlineStr">
        <is>
          <t>CapEx as % of Revenue</t>
        </is>
      </c>
      <c r="C13" s="9" t="n">
        <v>0.05</v>
      </c>
    </row>
    <row r="14">
      <c r="B14" t="inlineStr">
        <is>
          <t>Change in WC%</t>
        </is>
      </c>
      <c r="C14" s="9" t="n">
        <v>0.08</v>
      </c>
    </row>
    <row r="15">
      <c r="B15" t="inlineStr">
        <is>
          <t>Tax Rate</t>
        </is>
      </c>
      <c r="C15" s="9" t="n">
        <v>0.25</v>
      </c>
    </row>
    <row r="16">
      <c r="B16" t="inlineStr">
        <is>
          <t>WACC</t>
        </is>
      </c>
      <c r="C16" s="9" t="n">
        <v>0.12</v>
      </c>
    </row>
    <row r="17">
      <c r="B17" t="inlineStr">
        <is>
          <t>Net Debt</t>
        </is>
      </c>
      <c r="C17" s="11" t="n">
        <v>2.5</v>
      </c>
    </row>
    <row r="18">
      <c r="B18" t="inlineStr">
        <is>
          <t>Shares Outstanding</t>
        </is>
      </c>
      <c r="C18" s="12" t="n">
        <v>10</v>
      </c>
    </row>
    <row r="20" ht="17" customHeight="1">
      <c r="B20" s="6" t="inlineStr">
        <is>
          <t>Yellow cells are inputs — change these for your company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selection activeCell="C22" sqref="C22"/>
    </sheetView>
  </sheetViews>
  <sheetFormatPr baseColWidth="10" defaultRowHeight="16"/>
  <cols>
    <col width="27" bestFit="1" customWidth="1" min="2" max="2"/>
  </cols>
  <sheetData>
    <row r="2" ht="24" customHeight="1">
      <c r="B2" s="15" t="inlineStr">
        <is>
          <t>DCF Model — CloudMetrics Inc.</t>
        </is>
      </c>
    </row>
    <row r="4">
      <c r="B4" s="3" t="inlineStr">
        <is>
          <t>Line Item</t>
        </is>
      </c>
      <c r="C4" s="3" t="inlineStr">
        <is>
          <t>Year 1</t>
        </is>
      </c>
      <c r="D4" s="3" t="inlineStr">
        <is>
          <t>Year 2</t>
        </is>
      </c>
      <c r="E4" s="3" t="inlineStr">
        <is>
          <t>Year 3</t>
        </is>
      </c>
      <c r="F4" s="3" t="inlineStr">
        <is>
          <t>Year 4</t>
        </is>
      </c>
      <c r="G4" s="3" t="inlineStr">
        <is>
          <t>Year 5</t>
        </is>
      </c>
    </row>
    <row r="5">
      <c r="B5" t="inlineStr">
        <is>
          <t>Revenue</t>
        </is>
      </c>
      <c r="C5" s="135">
        <f>Assumptions!$C$8*(1+Assumptions!$C$9)</f>
        <v/>
      </c>
      <c r="D5" s="135">
        <f>C5*(1+Assumptions!$C$9)</f>
        <v/>
      </c>
      <c r="E5" s="135">
        <f>D5*(1+Assumptions!$C$9)</f>
        <v/>
      </c>
      <c r="F5" s="135">
        <f>E5*(1+Assumptions!$C$9)</f>
        <v/>
      </c>
      <c r="G5" s="135">
        <f>F5*(1+Assumptions!$C$9)</f>
        <v/>
      </c>
    </row>
    <row r="6">
      <c r="B6" t="inlineStr">
        <is>
          <t>EBITDA</t>
        </is>
      </c>
      <c r="C6" s="135">
        <f>C5*Assumptions!$C$11</f>
        <v/>
      </c>
      <c r="D6" s="135">
        <f>D5*Assumptions!$C$11</f>
        <v/>
      </c>
      <c r="E6" s="135">
        <f>E5*Assumptions!$C$11</f>
        <v/>
      </c>
      <c r="F6" s="135">
        <f>F5*Assumptions!$C$11</f>
        <v/>
      </c>
      <c r="G6" s="135">
        <f>G5*Assumptions!$C$11</f>
        <v/>
      </c>
    </row>
    <row r="7">
      <c r="B7" t="inlineStr">
        <is>
          <t>D&amp;A</t>
        </is>
      </c>
      <c r="C7" s="135">
        <f>C5*Assumptions!$C$12</f>
        <v/>
      </c>
      <c r="D7" s="135">
        <f>D5*Assumptions!$C$12</f>
        <v/>
      </c>
      <c r="E7" s="135">
        <f>E5*Assumptions!$C$12</f>
        <v/>
      </c>
      <c r="F7" s="135">
        <f>F5*Assumptions!$C$12</f>
        <v/>
      </c>
      <c r="G7" s="135">
        <f>G5*Assumptions!$C$12</f>
        <v/>
      </c>
    </row>
    <row r="8">
      <c r="B8" t="inlineStr">
        <is>
          <t>EBIT</t>
        </is>
      </c>
      <c r="C8" s="135">
        <f>C6-C7</f>
        <v/>
      </c>
      <c r="D8" s="135">
        <f>D6-D7</f>
        <v/>
      </c>
      <c r="E8" s="135">
        <f>E6-E7</f>
        <v/>
      </c>
      <c r="F8" s="135">
        <f>F6-F7</f>
        <v/>
      </c>
      <c r="G8" s="135">
        <f>G6-G7</f>
        <v/>
      </c>
    </row>
    <row r="9">
      <c r="B9" t="inlineStr">
        <is>
          <t>NOPAT</t>
        </is>
      </c>
      <c r="C9" s="135">
        <f>C8*(1-Assumptions!$C$15)</f>
        <v/>
      </c>
      <c r="D9" s="135">
        <f>D8*(1-Assumptions!$C$15)</f>
        <v/>
      </c>
      <c r="E9" s="135">
        <f>E8*(1-Assumptions!$C$15)</f>
        <v/>
      </c>
      <c r="F9" s="135">
        <f>F8*(1-Assumptions!$C$15)</f>
        <v/>
      </c>
      <c r="G9" s="135">
        <f>G8*(1-Assumptions!$C$15)</f>
        <v/>
      </c>
    </row>
    <row r="10">
      <c r="B10" t="inlineStr">
        <is>
          <t>Add back D&amp;A</t>
        </is>
      </c>
      <c r="C10" s="135">
        <f>C7</f>
        <v/>
      </c>
      <c r="D10" s="135">
        <f>D7</f>
        <v/>
      </c>
      <c r="E10" s="135">
        <f>E7</f>
        <v/>
      </c>
      <c r="F10" s="135">
        <f>F7</f>
        <v/>
      </c>
      <c r="G10" s="135">
        <f>G7</f>
        <v/>
      </c>
    </row>
    <row r="11">
      <c r="B11" t="inlineStr">
        <is>
          <t>Less Capex</t>
        </is>
      </c>
      <c r="C11" s="135">
        <f>C5*Assumptions!$C$13</f>
        <v/>
      </c>
      <c r="D11" s="135">
        <f>D5*Assumptions!$C$13</f>
        <v/>
      </c>
      <c r="E11" s="135">
        <f>E5*Assumptions!$C$13</f>
        <v/>
      </c>
      <c r="F11" s="135">
        <f>F5*Assumptions!$C$13</f>
        <v/>
      </c>
      <c r="G11" s="135">
        <f>G5*Assumptions!$C$13</f>
        <v/>
      </c>
    </row>
    <row r="12">
      <c r="B12" t="inlineStr">
        <is>
          <t>Less Change in WC</t>
        </is>
      </c>
      <c r="C12" s="135">
        <f>C5*Assumptions!$C$14</f>
        <v/>
      </c>
      <c r="D12" s="135">
        <f>D5*Assumptions!$C$14</f>
        <v/>
      </c>
      <c r="E12" s="135">
        <f>E5*Assumptions!$C$14</f>
        <v/>
      </c>
      <c r="F12" s="135">
        <f>F5*Assumptions!$C$14</f>
        <v/>
      </c>
      <c r="G12" s="135">
        <f>G5*Assumptions!$C$14</f>
        <v/>
      </c>
    </row>
    <row r="13">
      <c r="B13" s="13" t="inlineStr">
        <is>
          <t>Free Cash Flow (FCF)</t>
        </is>
      </c>
      <c r="C13" s="135">
        <f>C9+C10-C11-C12</f>
        <v/>
      </c>
      <c r="D13" s="135">
        <f>D9+D10-D11-D12</f>
        <v/>
      </c>
      <c r="E13" s="135">
        <f>E9+E10-E11-E12</f>
        <v/>
      </c>
      <c r="F13" s="135">
        <f>F9+F10-F11-F12</f>
        <v/>
      </c>
      <c r="G13" s="135">
        <f>G9+G10-G11-G12</f>
        <v/>
      </c>
    </row>
    <row r="15">
      <c r="B15" t="inlineStr">
        <is>
          <t>Valuation</t>
        </is>
      </c>
    </row>
    <row r="17">
      <c r="B17" t="inlineStr">
        <is>
          <t>Terminal Value</t>
        </is>
      </c>
      <c r="C17" s="17">
        <f>G13*(1+Assumptions!$C$10)/(Assumptions!$C$16-Assumptions!$C$10)</f>
        <v/>
      </c>
    </row>
    <row r="18">
      <c r="B18" t="inlineStr">
        <is>
          <t xml:space="preserve">PV of FCF year 1 </t>
        </is>
      </c>
      <c r="C18" s="17">
        <f>C13/(1+Assumptions!$C$16)^1</f>
        <v/>
      </c>
    </row>
    <row r="19">
      <c r="B19" t="inlineStr">
        <is>
          <t>PV of FCF year 2</t>
        </is>
      </c>
      <c r="C19" s="17">
        <f>D13/(1+Assumptions!$C$16)^1</f>
        <v/>
      </c>
    </row>
    <row r="20">
      <c r="B20" t="inlineStr">
        <is>
          <t>PV of FCF year 3</t>
        </is>
      </c>
      <c r="C20" s="17">
        <f>E13/(1+Assumptions!$C$16)^1</f>
        <v/>
      </c>
    </row>
    <row r="21">
      <c r="B21" t="inlineStr">
        <is>
          <t>PV of FCF year 4</t>
        </is>
      </c>
      <c r="C21" s="17">
        <f>F13/(1+Assumptions!$C$16)^1</f>
        <v/>
      </c>
    </row>
    <row r="22">
      <c r="B22" t="inlineStr">
        <is>
          <t>PV of FCF year 5</t>
        </is>
      </c>
    </row>
    <row r="23">
      <c r="B23" t="inlineStr">
        <is>
          <t>PV of terminal value</t>
        </is>
      </c>
    </row>
    <row r="25">
      <c r="B25" t="inlineStr">
        <is>
          <t>Enterprise Value</t>
        </is>
      </c>
    </row>
    <row r="26">
      <c r="B26" t="inlineStr">
        <is>
          <t>Less net debt</t>
        </is>
      </c>
    </row>
    <row r="27">
      <c r="B27" t="inlineStr">
        <is>
          <t>Equiyt Value</t>
        </is>
      </c>
    </row>
    <row r="28">
      <c r="B28" t="inlineStr">
        <is>
          <t>Shares Outstanding</t>
        </is>
      </c>
    </row>
    <row r="29">
      <c r="B29" t="inlineStr">
        <is>
          <t>Value per share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49"/>
  <sheetViews>
    <sheetView tabSelected="1" workbookViewId="0">
      <selection activeCell="I20" sqref="I20"/>
    </sheetView>
  </sheetViews>
  <sheetFormatPr baseColWidth="10" defaultRowHeight="16"/>
  <cols>
    <col outlineLevel="1" collapsed="1" width="2.5" customWidth="1" min="1" max="1"/>
    <col width="33.33203125" customWidth="1" min="2" max="2"/>
    <col width="20" customWidth="1" min="3" max="5"/>
    <col outlineLevel="1" collapsed="1" width="10.83203125" customWidth="1" min="6" max="16384"/>
  </cols>
  <sheetData>
    <row r="2" ht="24" customHeight="1">
      <c r="B2" s="18" t="inlineStr">
        <is>
          <t>Scenario Analysis — CloudMetrics Inc.</t>
        </is>
      </c>
    </row>
    <row r="4">
      <c r="B4" s="19" t="n"/>
      <c r="C4" s="20" t="inlineStr">
        <is>
          <t>Bear Case</t>
        </is>
      </c>
      <c r="D4" s="20" t="inlineStr">
        <is>
          <t>Base Case</t>
        </is>
      </c>
      <c r="E4" s="20" t="inlineStr">
        <is>
          <t>Bull Case</t>
        </is>
      </c>
    </row>
    <row r="5">
      <c r="B5" s="22" t="inlineStr">
        <is>
          <t>Assumptions</t>
        </is>
      </c>
    </row>
    <row r="6">
      <c r="B6" s="46" t="inlineStr">
        <is>
          <t>Base Revenue ($mm)</t>
        </is>
      </c>
      <c r="C6" s="27" t="n">
        <v>2</v>
      </c>
      <c r="D6" s="28" t="n">
        <v>2</v>
      </c>
      <c r="E6" s="31" t="n">
        <v>2</v>
      </c>
    </row>
    <row r="7">
      <c r="B7" s="46" t="inlineStr">
        <is>
          <t>Revenue Growth</t>
        </is>
      </c>
      <c r="C7" s="136" t="n">
        <v>0.2</v>
      </c>
      <c r="D7" s="137" t="n">
        <v>0.35</v>
      </c>
      <c r="E7" s="138" t="n">
        <v>0.5</v>
      </c>
    </row>
    <row r="8">
      <c r="B8" s="46" t="inlineStr">
        <is>
          <t>EBITDA Margin</t>
        </is>
      </c>
      <c r="C8" s="136" t="n">
        <v>0.12</v>
      </c>
      <c r="D8" s="137" t="n">
        <v>0.18</v>
      </c>
      <c r="E8" s="138" t="n">
        <v>0.25</v>
      </c>
    </row>
    <row r="9">
      <c r="B9" s="46" t="inlineStr">
        <is>
          <t>D&amp;A % of Revenue</t>
        </is>
      </c>
      <c r="C9" s="136" t="n">
        <v>0.05</v>
      </c>
      <c r="D9" s="137" t="n">
        <v>0.05</v>
      </c>
      <c r="E9" s="138" t="n">
        <v>0.05</v>
      </c>
    </row>
    <row r="10">
      <c r="B10" s="46" t="inlineStr">
        <is>
          <t>CapEx % of Revenue</t>
        </is>
      </c>
      <c r="C10" s="136" t="n">
        <v>0.05</v>
      </c>
      <c r="D10" s="137" t="n">
        <v>0.05</v>
      </c>
      <c r="E10" s="138" t="n">
        <v>0.05</v>
      </c>
    </row>
    <row r="11">
      <c r="B11" s="46" t="inlineStr">
        <is>
          <t>Change in WC %</t>
        </is>
      </c>
      <c r="C11" s="136" t="n">
        <v>0.08</v>
      </c>
      <c r="D11" s="137" t="n">
        <v>0.08</v>
      </c>
      <c r="E11" s="138" t="n">
        <v>0.08</v>
      </c>
    </row>
    <row r="12">
      <c r="B12" s="46" t="inlineStr">
        <is>
          <t>Tax Rate</t>
        </is>
      </c>
      <c r="C12" s="136" t="n">
        <v>0.25</v>
      </c>
      <c r="D12" s="137" t="n">
        <v>0.25</v>
      </c>
      <c r="E12" s="138" t="n">
        <v>0.25</v>
      </c>
    </row>
    <row r="13">
      <c r="B13" s="46" t="inlineStr">
        <is>
          <t>WACC</t>
        </is>
      </c>
      <c r="C13" s="136" t="n">
        <v>0.14</v>
      </c>
      <c r="D13" s="137" t="n">
        <v>0.12</v>
      </c>
      <c r="E13" s="138" t="n">
        <v>0.1</v>
      </c>
    </row>
    <row r="14">
      <c r="B14" s="46" t="inlineStr">
        <is>
          <t>Terminal Growth Rate</t>
        </is>
      </c>
      <c r="C14" s="136" t="n">
        <v>0.025</v>
      </c>
      <c r="D14" s="137" t="n">
        <v>0.035</v>
      </c>
      <c r="E14" s="138" t="n">
        <v>0.04</v>
      </c>
    </row>
    <row r="15">
      <c r="B15" s="46" t="inlineStr">
        <is>
          <t>Net Debt ($mm)</t>
        </is>
      </c>
      <c r="C15" s="25" t="n">
        <v>2.5</v>
      </c>
      <c r="D15" s="26" t="n">
        <v>2.5</v>
      </c>
      <c r="E15" s="33" t="n">
        <v>2.5</v>
      </c>
    </row>
    <row r="16">
      <c r="B16" s="46" t="inlineStr">
        <is>
          <t>Shares Outstanding (mm)</t>
        </is>
      </c>
      <c r="C16" s="29" t="n">
        <v>10</v>
      </c>
      <c r="D16" s="30" t="n">
        <v>10</v>
      </c>
      <c r="E16" s="34" t="n">
        <v>10</v>
      </c>
    </row>
    <row r="18">
      <c r="B18" s="22" t="inlineStr">
        <is>
          <t>Revenue Projections ($mm)</t>
        </is>
      </c>
    </row>
    <row r="19">
      <c r="B19" s="19" t="n"/>
      <c r="C19" s="20" t="inlineStr">
        <is>
          <t>Bear Case</t>
        </is>
      </c>
      <c r="D19" s="20" t="inlineStr">
        <is>
          <t>Base Case</t>
        </is>
      </c>
      <c r="E19" s="20" t="inlineStr">
        <is>
          <t>Bull Case</t>
        </is>
      </c>
    </row>
    <row r="20">
      <c r="B20" s="46" t="inlineStr">
        <is>
          <t>Year 1</t>
        </is>
      </c>
      <c r="C20" s="139">
        <f>C$6*(1+C$7)^1</f>
        <v/>
      </c>
      <c r="D20" s="140">
        <f>D$6*(1+D$7)^1</f>
        <v/>
      </c>
      <c r="E20" s="140">
        <f>E$6*(1+E$7)^1</f>
        <v/>
      </c>
    </row>
    <row r="21">
      <c r="B21" s="46" t="inlineStr">
        <is>
          <t>Year 2</t>
        </is>
      </c>
      <c r="C21" s="139">
        <f>C$6*(1+C$7)^2</f>
        <v/>
      </c>
      <c r="D21" s="140">
        <f>D$6*(1+D$7)^2</f>
        <v/>
      </c>
      <c r="E21" s="140">
        <f>E$6*(1+E$7)^2</f>
        <v/>
      </c>
    </row>
    <row r="22">
      <c r="B22" s="46" t="inlineStr">
        <is>
          <t>Year 3</t>
        </is>
      </c>
      <c r="C22" s="139">
        <f>C$6*(1+C$7)^3</f>
        <v/>
      </c>
      <c r="D22" s="140">
        <f>D$6*(1+D$7)^3</f>
        <v/>
      </c>
      <c r="E22" s="140">
        <f>E$6*(1+E$7)^3</f>
        <v/>
      </c>
    </row>
    <row r="23">
      <c r="B23" s="46" t="inlineStr">
        <is>
          <t>Year 4</t>
        </is>
      </c>
      <c r="C23" s="139">
        <f>C$6*(1+C$7)^4</f>
        <v/>
      </c>
      <c r="D23" s="140">
        <f>D$6*(1+D$7)^4</f>
        <v/>
      </c>
      <c r="E23" s="140">
        <f>E$6*(1+E$7)^4</f>
        <v/>
      </c>
    </row>
    <row r="24">
      <c r="B24" s="46" t="inlineStr">
        <is>
          <t>Year 5</t>
        </is>
      </c>
      <c r="C24" s="139">
        <f>C$6*(1+C$7)^5</f>
        <v/>
      </c>
      <c r="D24" s="140">
        <f>D$6*(1+D$7)^5</f>
        <v/>
      </c>
      <c r="E24" s="140">
        <f>E$6*(1+E$7)^5</f>
        <v/>
      </c>
    </row>
    <row r="26">
      <c r="B26" s="22" t="inlineStr">
        <is>
          <t>Valuation</t>
        </is>
      </c>
    </row>
    <row r="27">
      <c r="B27" s="19" t="n"/>
      <c r="C27" s="20" t="inlineStr">
        <is>
          <t>Bear Case</t>
        </is>
      </c>
      <c r="D27" s="20" t="inlineStr">
        <is>
          <t>Base Case</t>
        </is>
      </c>
      <c r="E27" s="20" t="inlineStr">
        <is>
          <t>Bull Case</t>
        </is>
      </c>
    </row>
    <row r="28">
      <c r="B28" s="46" t="inlineStr">
        <is>
          <t>Year 5 Revenue ($mm)</t>
        </is>
      </c>
      <c r="C28" s="139">
        <f>C24</f>
        <v/>
      </c>
      <c r="D28" s="140">
        <f>D24</f>
        <v/>
      </c>
      <c r="E28" s="140">
        <f>E24</f>
        <v/>
      </c>
    </row>
    <row r="29">
      <c r="B29" s="46" t="inlineStr">
        <is>
          <t>Year 5 EBITDA ($mm)</t>
        </is>
      </c>
      <c r="C29" s="139">
        <f>C28*C$8</f>
        <v/>
      </c>
      <c r="D29" s="140">
        <f>D28*D$8</f>
        <v/>
      </c>
      <c r="E29" s="140">
        <f>E28*E$8</f>
        <v/>
      </c>
    </row>
    <row r="30">
      <c r="B30" s="46" t="inlineStr">
        <is>
          <t>Year 5 EBIT ($mm)</t>
        </is>
      </c>
      <c r="C30" s="139">
        <f>C29-C28*C$9</f>
        <v/>
      </c>
      <c r="D30" s="140">
        <f>D29-D28*D$9</f>
        <v/>
      </c>
      <c r="E30" s="140">
        <f>E29-E28*E$9</f>
        <v/>
      </c>
    </row>
    <row r="31">
      <c r="B31" s="46" t="inlineStr">
        <is>
          <t>Year 5 NOPAT ($mm)</t>
        </is>
      </c>
      <c r="C31" s="139">
        <f>C30*(1-C$12)</f>
        <v/>
      </c>
      <c r="D31" s="140">
        <f>D30*(1-D$12)</f>
        <v/>
      </c>
      <c r="E31" s="140">
        <f>E30*(1-E$12)</f>
        <v/>
      </c>
    </row>
    <row r="32">
      <c r="B32" s="46" t="inlineStr">
        <is>
          <t>Add: D&amp;A ($mm)</t>
        </is>
      </c>
      <c r="C32" s="139">
        <f>C28*C$9</f>
        <v/>
      </c>
      <c r="D32" s="140">
        <f>D28*D$9</f>
        <v/>
      </c>
      <c r="E32" s="140">
        <f>E28*E$9</f>
        <v/>
      </c>
    </row>
    <row r="33">
      <c r="B33" s="46" t="inlineStr">
        <is>
          <t>Less: CapEx ($mm)</t>
        </is>
      </c>
      <c r="C33" s="139">
        <f>C28*C$10</f>
        <v/>
      </c>
      <c r="D33" s="140">
        <f>D28*D$10</f>
        <v/>
      </c>
      <c r="E33" s="140">
        <f>E28*E$10</f>
        <v/>
      </c>
    </row>
    <row r="34" ht="17" customHeight="1" thickBot="1">
      <c r="B34" s="46" t="inlineStr">
        <is>
          <t>Less: Change in WC ($mm)</t>
        </is>
      </c>
      <c r="C34" s="141">
        <f>C28*C$11</f>
        <v/>
      </c>
      <c r="D34" s="142">
        <f>D28*D$11</f>
        <v/>
      </c>
      <c r="E34" s="142">
        <f>E28*E$11</f>
        <v/>
      </c>
    </row>
    <row r="35">
      <c r="B35" s="53" t="inlineStr">
        <is>
          <t>Year 5 FCF ($mm)</t>
        </is>
      </c>
      <c r="C35" s="143">
        <f>C31+C32-C33-C34</f>
        <v/>
      </c>
      <c r="D35" s="144">
        <f>D31+D32-D33-D34</f>
        <v/>
      </c>
      <c r="E35" s="144">
        <f>E31+E32-E33-E34</f>
        <v/>
      </c>
    </row>
    <row r="36">
      <c r="B36" s="51" t="n"/>
      <c r="C36" s="41" t="n"/>
      <c r="D36" s="8" t="n"/>
      <c r="E36" s="8" t="n"/>
    </row>
    <row r="37">
      <c r="B37" s="46" t="inlineStr">
        <is>
          <t>Terminal Value ($mm)</t>
        </is>
      </c>
      <c r="C37" s="139">
        <f>C35*(1+C$14)/(C$13-C$14)</f>
        <v/>
      </c>
      <c r="D37" s="140">
        <f>D35*(1+D$14)/(D$13-D$14)</f>
        <v/>
      </c>
      <c r="E37" s="140">
        <f>E35*(1+E$14)/(E$13-E$14)</f>
        <v/>
      </c>
    </row>
    <row r="38">
      <c r="B38" s="46" t="inlineStr">
        <is>
          <t>PV of FCF Year 1 ($mm)</t>
        </is>
      </c>
      <c r="C38" s="139">
        <f>((C$6*(1+C$7)^1*C$8-C$6*(1+C$7)^1*C$9)*(1-C$12)+C$6*(1+C$7)^1*C$9-C$6*(1+C$7)^1*C$10-C$6*(1+C$7)^1*C$11)/(1+C$13)^1</f>
        <v/>
      </c>
      <c r="D38" s="140">
        <f>((D$6*(1+D$7)^1*D$8-D$6*(1+D$7)^1*D$9)*(1-D$12)+D$6*(1+D$7)^1*D$9-D$6*(1+D$7)^1*D$10-D$6*(1+D$7)^1*D$11)/(1+D$13)^1</f>
        <v/>
      </c>
      <c r="E38" s="140">
        <f>((E$6*(1+E$7)^1*E$8-E$6*(1+E$7)^1*E$9)*(1-E$12)+E$6*(1+E$7)^1*E$9-E$6*(1+E$7)^1*E$10-E$6*(1+E$7)^1*E$11)/(1+E$13)^1</f>
        <v/>
      </c>
    </row>
    <row r="39">
      <c r="B39" s="46" t="inlineStr">
        <is>
          <t>PV of FCF Year 2 ($mm)</t>
        </is>
      </c>
      <c r="C39" s="139">
        <f>((C$6*(1+C$7)^2*C$8-C$6*(1+C$7)^2*C$9)*(1-C$12)+C$6*(1+C$7)^2*C$9-C$6*(1+C$7)^2*C$10-C$6*(1+C$7)^2*C$11)/(1+C$13)^2</f>
        <v/>
      </c>
      <c r="D39" s="140">
        <f>((D$6*(1+D$7)^2*D$8-D$6*(1+D$7)^2*D$9)*(1-D$12)+D$6*(1+D$7)^2*D$9-D$6*(1+D$7)^2*D$10-D$6*(1+D$7)^2*D$11)/(1+D$13)^2</f>
        <v/>
      </c>
      <c r="E39" s="140">
        <f>((E$6*(1+E$7)^2*E$8-E$6*(1+E$7)^2*E$9)*(1-E$12)+E$6*(1+E$7)^2*E$9-E$6*(1+E$7)^2*E$10-E$6*(1+E$7)^2*E$11)/(1+E$13)^2</f>
        <v/>
      </c>
    </row>
    <row r="40">
      <c r="B40" s="46" t="inlineStr">
        <is>
          <t>PV of FCF Year 3 ($mm)</t>
        </is>
      </c>
      <c r="C40" s="139">
        <f>((C$6*(1+C$7)^3*C$8-C$6*(1+C$7)^3*C$9)*(1-C$12)+C$6*(1+C$7)^3*C$9-C$6*(1+C$7)^3*C$10-C$6*(1+C$7)^3*C$11)/(1+C$13)^3</f>
        <v/>
      </c>
      <c r="D40" s="140">
        <f>((D$6*(1+D$7)^3*D$8-D$6*(1+D$7)^3*D$9)*(1-D$12)+D$6*(1+D$7)^3*D$9-D$6*(1+D$7)^3*D$10-D$6*(1+D$7)^3*D$11)/(1+D$13)^3</f>
        <v/>
      </c>
      <c r="E40" s="140">
        <f>((E$6*(1+E$7)^3*E$8-E$6*(1+E$7)^3*E$9)*(1-E$12)+E$6*(1+E$7)^3*E$9-E$6*(1+E$7)^3*E$10-E$6*(1+E$7)^3*E$11)/(1+E$13)^3</f>
        <v/>
      </c>
    </row>
    <row r="41">
      <c r="B41" s="46" t="inlineStr">
        <is>
          <t>PV of FCF Year 4 ($mm)</t>
        </is>
      </c>
      <c r="C41" s="139">
        <f>((C$6*(1+C$7)^4*C$8-C$6*(1+C$7)^4*C$9)*(1-C$12)+C$6*(1+C$7)^4*C$9-C$6*(1+C$7)^4*C$10-C$6*(1+C$7)^4*C$11)/(1+C$13)^4</f>
        <v/>
      </c>
      <c r="D41" s="140">
        <f>((D$6*(1+D$7)^4*D$8-D$6*(1+D$7)^4*D$9)*(1-D$12)+D$6*(1+D$7)^4*D$9-D$6*(1+D$7)^4*D$10-D$6*(1+D$7)^4*D$11)/(1+D$13)^4</f>
        <v/>
      </c>
      <c r="E41" s="140">
        <f>((E$6*(1+E$7)^4*E$8-E$6*(1+E$7)^4*E$9)*(1-E$12)+E$6*(1+E$7)^4*E$9-E$6*(1+E$7)^4*E$10-E$6*(1+E$7)^4*E$11)/(1+E$13)^4</f>
        <v/>
      </c>
    </row>
    <row r="42">
      <c r="B42" s="46" t="inlineStr">
        <is>
          <t>PV of FCF Year 5 ($mm)</t>
        </is>
      </c>
      <c r="C42" s="139">
        <f>C35/(1+C$13)^5</f>
        <v/>
      </c>
      <c r="D42" s="140">
        <f>D35/(1+D$13)^5</f>
        <v/>
      </c>
      <c r="E42" s="140">
        <f>E35/(1+E$13)^5</f>
        <v/>
      </c>
    </row>
    <row r="43">
      <c r="B43" s="46" t="inlineStr">
        <is>
          <t>PV of Terminal Value ($mm)</t>
        </is>
      </c>
      <c r="C43" s="139">
        <f>C37/(1+C$13)^5</f>
        <v/>
      </c>
      <c r="D43" s="140">
        <f>D37/(1+D$13)^5</f>
        <v/>
      </c>
      <c r="E43" s="140">
        <f>E37/(1+E$13)^5</f>
        <v/>
      </c>
    </row>
    <row r="44" ht="17" customHeight="1" thickBot="1">
      <c r="B44" s="46" t="n"/>
      <c r="C44" s="47" t="n"/>
      <c r="D44" s="42" t="n"/>
      <c r="E44" s="42" t="n"/>
    </row>
    <row r="45">
      <c r="B45" s="52" t="inlineStr">
        <is>
          <t>Enterprise Value ($mm)</t>
        </is>
      </c>
      <c r="C45" s="145">
        <f>SUM(C38:C43)</f>
        <v/>
      </c>
      <c r="D45" s="146">
        <f>SUM(D38:D43)</f>
        <v/>
      </c>
      <c r="E45" s="146">
        <f>SUM(E38:E43)</f>
        <v/>
      </c>
    </row>
    <row r="46">
      <c r="B46" s="46" t="inlineStr">
        <is>
          <t>Less: Net Debt ($mm)</t>
        </is>
      </c>
      <c r="C46" s="147">
        <f>C$15</f>
        <v/>
      </c>
      <c r="D46" s="148">
        <f>D$15</f>
        <v/>
      </c>
      <c r="E46" s="148">
        <f>E$15</f>
        <v/>
      </c>
    </row>
    <row r="47">
      <c r="B47" s="46" t="inlineStr">
        <is>
          <t>Equity Value ($mm)</t>
        </is>
      </c>
      <c r="C47" s="139">
        <f>C45-C46</f>
        <v/>
      </c>
      <c r="D47" s="140">
        <f>D45-D46</f>
        <v/>
      </c>
      <c r="E47" s="140">
        <f>E45-E46</f>
        <v/>
      </c>
    </row>
    <row r="48" ht="17" customHeight="1" thickBot="1">
      <c r="B48" s="46" t="inlineStr">
        <is>
          <t>Shares Outstanding (mm)</t>
        </is>
      </c>
      <c r="C48" s="49">
        <f>C$16</f>
        <v/>
      </c>
      <c r="D48" s="44">
        <f>D$16</f>
        <v/>
      </c>
      <c r="E48" s="44">
        <f>E$16</f>
        <v/>
      </c>
    </row>
    <row r="49">
      <c r="B49" s="52" t="inlineStr">
        <is>
          <t>Value per Share ($)</t>
        </is>
      </c>
      <c r="C49" s="149">
        <f>C47/C48</f>
        <v/>
      </c>
      <c r="D49" s="150">
        <f>D47/D48</f>
        <v/>
      </c>
      <c r="E49" s="150">
        <f>E47/E48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5"/>
  <sheetViews>
    <sheetView workbookViewId="0">
      <selection activeCell="A1" sqref="A1"/>
    </sheetView>
  </sheetViews>
  <sheetFormatPr baseColWidth="10" defaultRowHeight="16"/>
  <cols>
    <col width="2.5" customWidth="1" min="1" max="1"/>
    <col width="20" customWidth="1" min="2" max="2"/>
    <col width="13.33203125" customWidth="1" min="3" max="11"/>
  </cols>
  <sheetData>
    <row r="2" ht="24" customHeight="1">
      <c r="B2" s="56" t="inlineStr">
        <is>
          <t>Sensitivity Analysis: Enterprise Value (EUR M)</t>
        </is>
      </c>
    </row>
    <row r="4">
      <c r="B4" s="21" t="inlineStr">
        <is>
          <t>Year 5 FCF ($mm)</t>
        </is>
      </c>
      <c r="C4" s="151" t="n">
        <v>0.157</v>
      </c>
    </row>
    <row r="5" ht="17" customHeight="1" thickBot="1"/>
    <row r="6" ht="17" customHeight="1" thickBot="1">
      <c r="B6" s="72" t="inlineStr">
        <is>
          <t>WACC \ Terminal Growth</t>
        </is>
      </c>
      <c r="C6" s="152" t="n">
        <v>0.015</v>
      </c>
      <c r="D6" s="152" t="n">
        <v>0.02</v>
      </c>
      <c r="E6" s="152" t="n">
        <v>0.025</v>
      </c>
      <c r="F6" s="152" t="n">
        <v>0.03</v>
      </c>
      <c r="G6" s="152" t="n">
        <v>0.035</v>
      </c>
      <c r="H6" s="152" t="n">
        <v>0.04</v>
      </c>
      <c r="I6" s="152" t="n">
        <v>0.045</v>
      </c>
      <c r="J6" s="152" t="n">
        <v>0.05</v>
      </c>
      <c r="K6" s="153" t="n">
        <v>0.055</v>
      </c>
    </row>
    <row r="7">
      <c r="B7" s="154" t="n">
        <v>0.08</v>
      </c>
      <c r="C7" s="155">
        <f>$C$4*(1+C$6)/($B7-C$6)/(1+$B7)^5</f>
        <v/>
      </c>
      <c r="D7" s="156">
        <f>$C$4*(1+D$6)/($B7-D$6)/(1+$B7)^5</f>
        <v/>
      </c>
      <c r="E7" s="156">
        <f>$C$4*(1+E$6)/($B7-E$6)/(1+$B7)^5</f>
        <v/>
      </c>
      <c r="F7" s="156">
        <f>$C$4*(1+F$6)/($B7-F$6)/(1+$B7)^5</f>
        <v/>
      </c>
      <c r="G7" s="156">
        <f>$C$4*(1+G$6)/($B7-G$6)/(1+$B7)^5</f>
        <v/>
      </c>
      <c r="H7" s="156">
        <f>$C$4*(1+H$6)/($B7-H$6)/(1+$B7)^5</f>
        <v/>
      </c>
      <c r="I7" s="156">
        <f>$C$4*(1+I$6)/($B7-I$6)/(1+$B7)^5</f>
        <v/>
      </c>
      <c r="J7" s="156">
        <f>$C$4*(1+J$6)/($B7-J$6)/(1+$B7)^5</f>
        <v/>
      </c>
      <c r="K7" s="157">
        <f>$C$4*(1+K$6)/($B7-K$6)/(1+$B7)^5</f>
        <v/>
      </c>
    </row>
    <row r="8">
      <c r="B8" s="154" t="n">
        <v>0.09</v>
      </c>
      <c r="C8" s="158">
        <f>$C$4*(1+C$6)/($B8-C$6)/(1+$B8)^5</f>
        <v/>
      </c>
      <c r="D8" s="159">
        <f>$C$4*(1+D$6)/($B8-D$6)/(1+$B8)^5</f>
        <v/>
      </c>
      <c r="E8" s="159">
        <f>$C$4*(1+E$6)/($B8-E$6)/(1+$B8)^5</f>
        <v/>
      </c>
      <c r="F8" s="159">
        <f>$C$4*(1+F$6)/($B8-F$6)/(1+$B8)^5</f>
        <v/>
      </c>
      <c r="G8" s="159">
        <f>$C$4*(1+G$6)/($B8-G$6)/(1+$B8)^5</f>
        <v/>
      </c>
      <c r="H8" s="159">
        <f>$C$4*(1+H$6)/($B8-H$6)/(1+$B8)^5</f>
        <v/>
      </c>
      <c r="I8" s="159">
        <f>$C$4*(1+I$6)/($B8-I$6)/(1+$B8)^5</f>
        <v/>
      </c>
      <c r="J8" s="159">
        <f>$C$4*(1+J$6)/($B8-J$6)/(1+$B8)^5</f>
        <v/>
      </c>
      <c r="K8" s="160">
        <f>$C$4*(1+K$6)/($B8-K$6)/(1+$B8)^5</f>
        <v/>
      </c>
    </row>
    <row r="9">
      <c r="B9" s="154" t="n">
        <v>0.1</v>
      </c>
      <c r="C9" s="158">
        <f>$C$4*(1+C$6)/($B9-C$6)/(1+$B9)^5</f>
        <v/>
      </c>
      <c r="D9" s="159">
        <f>$C$4*(1+D$6)/($B9-D$6)/(1+$B9)^5</f>
        <v/>
      </c>
      <c r="E9" s="159">
        <f>$C$4*(1+E$6)/($B9-E$6)/(1+$B9)^5</f>
        <v/>
      </c>
      <c r="F9" s="159">
        <f>$C$4*(1+F$6)/($B9-F$6)/(1+$B9)^5</f>
        <v/>
      </c>
      <c r="G9" s="159">
        <f>$C$4*(1+G$6)/($B9-G$6)/(1+$B9)^5</f>
        <v/>
      </c>
      <c r="H9" s="159">
        <f>$C$4*(1+H$6)/($B9-H$6)/(1+$B9)^5</f>
        <v/>
      </c>
      <c r="I9" s="159">
        <f>$C$4*(1+I$6)/($B9-I$6)/(1+$B9)^5</f>
        <v/>
      </c>
      <c r="J9" s="159">
        <f>$C$4*(1+J$6)/($B9-J$6)/(1+$B9)^5</f>
        <v/>
      </c>
      <c r="K9" s="160">
        <f>$C$4*(1+K$6)/($B9-K$6)/(1+$B9)^5</f>
        <v/>
      </c>
    </row>
    <row r="10" ht="17" customHeight="1" thickBot="1">
      <c r="B10" s="154" t="n">
        <v>0.11</v>
      </c>
      <c r="C10" s="158">
        <f>$C$4*(1+C$6)/($B10-C$6)/(1+$B10)^5</f>
        <v/>
      </c>
      <c r="D10" s="159">
        <f>$C$4*(1+D$6)/($B10-D$6)/(1+$B10)^5</f>
        <v/>
      </c>
      <c r="E10" s="159">
        <f>$C$4*(1+E$6)/($B10-E$6)/(1+$B10)^5</f>
        <v/>
      </c>
      <c r="F10" s="159">
        <f>$C$4*(1+F$6)/($B10-F$6)/(1+$B10)^5</f>
        <v/>
      </c>
      <c r="G10" s="161">
        <f>$C$4*(1+G$6)/($B10-G$6)/(1+$B10)^5</f>
        <v/>
      </c>
      <c r="H10" s="159">
        <f>$C$4*(1+H$6)/($B10-H$6)/(1+$B10)^5</f>
        <v/>
      </c>
      <c r="I10" s="159">
        <f>$C$4*(1+I$6)/($B10-I$6)/(1+$B10)^5</f>
        <v/>
      </c>
      <c r="J10" s="159">
        <f>$C$4*(1+J$6)/($B10-J$6)/(1+$B10)^5</f>
        <v/>
      </c>
      <c r="K10" s="160">
        <f>$C$4*(1+K$6)/($B10-K$6)/(1+$B10)^5</f>
        <v/>
      </c>
    </row>
    <row r="11" ht="18" customHeight="1" thickBot="1" thickTop="1">
      <c r="B11" s="154" t="n">
        <v>0.12</v>
      </c>
      <c r="C11" s="158">
        <f>$C$4*(1+C$6)/($B11-C$6)/(1+$B11)^5</f>
        <v/>
      </c>
      <c r="D11" s="159">
        <f>$C$4*(1+D$6)/($B11-D$6)/(1+$B11)^5</f>
        <v/>
      </c>
      <c r="E11" s="159">
        <f>$C$4*(1+E$6)/($B11-E$6)/(1+$B11)^5</f>
        <v/>
      </c>
      <c r="F11" s="162">
        <f>$C$4*(1+F$6)/($B11-F$6)/(1+$B11)^5</f>
        <v/>
      </c>
      <c r="G11" s="163">
        <f>$C$4*(1+G$6)/($B11-G$6)/(1+$B11)^5</f>
        <v/>
      </c>
      <c r="H11" s="158">
        <f>$C$4*(1+H$6)/($B11-H$6)/(1+$B11)^5</f>
        <v/>
      </c>
      <c r="I11" s="159">
        <f>$C$4*(1+I$6)/($B11-I$6)/(1+$B11)^5</f>
        <v/>
      </c>
      <c r="J11" s="159">
        <f>$C$4*(1+J$6)/($B11-J$6)/(1+$B11)^5</f>
        <v/>
      </c>
      <c r="K11" s="160">
        <f>$C$4*(1+K$6)/($B11-K$6)/(1+$B11)^5</f>
        <v/>
      </c>
    </row>
    <row r="12" ht="17" customHeight="1" thickTop="1">
      <c r="B12" s="154" t="n">
        <v>0.13</v>
      </c>
      <c r="C12" s="158">
        <f>$C$4*(1+C$6)/($B12-C$6)/(1+$B12)^5</f>
        <v/>
      </c>
      <c r="D12" s="159">
        <f>$C$4*(1+D$6)/($B12-D$6)/(1+$B12)^5</f>
        <v/>
      </c>
      <c r="E12" s="159">
        <f>$C$4*(1+E$6)/($B12-E$6)/(1+$B12)^5</f>
        <v/>
      </c>
      <c r="F12" s="159">
        <f>$C$4*(1+F$6)/($B12-F$6)/(1+$B12)^5</f>
        <v/>
      </c>
      <c r="G12" s="156">
        <f>$C$4*(1+G$6)/($B12-G$6)/(1+$B12)^5</f>
        <v/>
      </c>
      <c r="H12" s="159">
        <f>$C$4*(1+H$6)/($B12-H$6)/(1+$B12)^5</f>
        <v/>
      </c>
      <c r="I12" s="159">
        <f>$C$4*(1+I$6)/($B12-I$6)/(1+$B12)^5</f>
        <v/>
      </c>
      <c r="J12" s="159">
        <f>$C$4*(1+J$6)/($B12-J$6)/(1+$B12)^5</f>
        <v/>
      </c>
      <c r="K12" s="160">
        <f>$C$4*(1+K$6)/($B12-K$6)/(1+$B12)^5</f>
        <v/>
      </c>
    </row>
    <row r="13">
      <c r="B13" s="154" t="n">
        <v>0.14</v>
      </c>
      <c r="C13" s="158">
        <f>$C$4*(1+C$6)/($B13-C$6)/(1+$B13)^5</f>
        <v/>
      </c>
      <c r="D13" s="159">
        <f>$C$4*(1+D$6)/($B13-D$6)/(1+$B13)^5</f>
        <v/>
      </c>
      <c r="E13" s="159">
        <f>$C$4*(1+E$6)/($B13-E$6)/(1+$B13)^5</f>
        <v/>
      </c>
      <c r="F13" s="159">
        <f>$C$4*(1+F$6)/($B13-F$6)/(1+$B13)^5</f>
        <v/>
      </c>
      <c r="G13" s="159">
        <f>$C$4*(1+G$6)/($B13-G$6)/(1+$B13)^5</f>
        <v/>
      </c>
      <c r="H13" s="159">
        <f>$C$4*(1+H$6)/($B13-H$6)/(1+$B13)^5</f>
        <v/>
      </c>
      <c r="I13" s="159">
        <f>$C$4*(1+I$6)/($B13-I$6)/(1+$B13)^5</f>
        <v/>
      </c>
      <c r="J13" s="159">
        <f>$C$4*(1+J$6)/($B13-J$6)/(1+$B13)^5</f>
        <v/>
      </c>
      <c r="K13" s="160">
        <f>$C$4*(1+K$6)/($B13-K$6)/(1+$B13)^5</f>
        <v/>
      </c>
    </row>
    <row r="14">
      <c r="B14" s="154" t="n">
        <v>0.15</v>
      </c>
      <c r="C14" s="158">
        <f>$C$4*(1+C$6)/($B14-C$6)/(1+$B14)^5</f>
        <v/>
      </c>
      <c r="D14" s="159">
        <f>$C$4*(1+D$6)/($B14-D$6)/(1+$B14)^5</f>
        <v/>
      </c>
      <c r="E14" s="159">
        <f>$C$4*(1+E$6)/($B14-E$6)/(1+$B14)^5</f>
        <v/>
      </c>
      <c r="F14" s="159">
        <f>$C$4*(1+F$6)/($B14-F$6)/(1+$B14)^5</f>
        <v/>
      </c>
      <c r="G14" s="159">
        <f>$C$4*(1+G$6)/($B14-G$6)/(1+$B14)^5</f>
        <v/>
      </c>
      <c r="H14" s="159">
        <f>$C$4*(1+H$6)/($B14-H$6)/(1+$B14)^5</f>
        <v/>
      </c>
      <c r="I14" s="159">
        <f>$C$4*(1+I$6)/($B14-I$6)/(1+$B14)^5</f>
        <v/>
      </c>
      <c r="J14" s="159">
        <f>$C$4*(1+J$6)/($B14-J$6)/(1+$B14)^5</f>
        <v/>
      </c>
      <c r="K14" s="160">
        <f>$C$4*(1+K$6)/($B14-K$6)/(1+$B14)^5</f>
        <v/>
      </c>
    </row>
    <row r="15" ht="17" customHeight="1" thickBot="1">
      <c r="B15" s="164" t="n">
        <v>0.16</v>
      </c>
      <c r="C15" s="165">
        <f>$C$4*(1+C$6)/($B15-C$6)/(1+$B15)^5</f>
        <v/>
      </c>
      <c r="D15" s="166">
        <f>$C$4*(1+D$6)/($B15-D$6)/(1+$B15)^5</f>
        <v/>
      </c>
      <c r="E15" s="166">
        <f>$C$4*(1+E$6)/($B15-E$6)/(1+$B15)^5</f>
        <v/>
      </c>
      <c r="F15" s="166">
        <f>$C$4*(1+F$6)/($B15-F$6)/(1+$B15)^5</f>
        <v/>
      </c>
      <c r="G15" s="166">
        <f>$C$4*(1+G$6)/($B15-G$6)/(1+$B15)^5</f>
        <v/>
      </c>
      <c r="H15" s="166">
        <f>$C$4*(1+H$6)/($B15-H$6)/(1+$B15)^5</f>
        <v/>
      </c>
      <c r="I15" s="166">
        <f>$C$4*(1+I$6)/($B15-I$6)/(1+$B15)^5</f>
        <v/>
      </c>
      <c r="J15" s="166">
        <f>$C$4*(1+J$6)/($B15-J$6)/(1+$B15)^5</f>
        <v/>
      </c>
      <c r="K15" s="167">
        <f>$C$4*(1+K$6)/($B15-K$6)/(1+$B15)^5</f>
        <v/>
      </c>
    </row>
  </sheetData>
  <conditionalFormatting sqref="C7:K15">
    <cfRule type="cellIs" priority="1" operator="lessThanOrEqual" dxfId="2">
      <formula>0.776850486444895</formula>
    </cfRule>
    <cfRule type="cellIs" priority="2" operator="greaterThanOrEqual" dxfId="1">
      <formula>1.63050752384089</formula>
    </cfRule>
    <cfRule type="cellIs" priority="3" operator="between" dxfId="0">
      <formula>0.776850486444895</formula>
      <formula>1.63050752384089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H18" sqref="H18"/>
    </sheetView>
  </sheetViews>
  <sheetFormatPr baseColWidth="10" defaultRowHeight="16"/>
  <cols>
    <col width="1.6640625" customWidth="1" min="1" max="1"/>
    <col width="23.33203125" customWidth="1" min="2" max="2"/>
    <col width="21.6640625" customWidth="1" min="3" max="5"/>
    <col width="1.6640625" customWidth="1" min="6" max="6"/>
  </cols>
  <sheetData>
    <row r="1" ht="8" customHeight="1">
      <c r="A1" s="58" t="n"/>
      <c r="B1" s="58" t="n"/>
      <c r="C1" s="58" t="n"/>
      <c r="D1" s="58" t="n"/>
      <c r="E1" s="58" t="n"/>
      <c r="F1" s="58" t="n"/>
    </row>
    <row r="2">
      <c r="A2" s="58" t="n"/>
      <c r="B2" s="76" t="inlineStr">
        <is>
          <t>EQUITY RESEARCH  |  VALUATION TEARSHEET</t>
        </is>
      </c>
      <c r="C2" s="77" t="n"/>
      <c r="D2" s="77" t="n"/>
      <c r="E2" s="77" t="n"/>
      <c r="F2" s="58" t="n"/>
    </row>
    <row r="3" ht="10" customHeight="1">
      <c r="A3" s="58" t="n"/>
      <c r="B3" s="58" t="n"/>
      <c r="C3" s="58" t="n"/>
      <c r="D3" s="58" t="n"/>
      <c r="E3" s="58" t="n"/>
      <c r="F3" s="58" t="n"/>
    </row>
    <row r="4" ht="32" customHeight="1">
      <c r="A4" s="58" t="n"/>
      <c r="B4" s="78" t="inlineStr">
        <is>
          <t>CloudMetrics Inc.</t>
        </is>
      </c>
      <c r="C4" s="58" t="n"/>
      <c r="D4" s="80" t="inlineStr">
        <is>
          <t>Model Date:</t>
        </is>
      </c>
      <c r="E4" s="168">
        <f>TODAY()</f>
        <v/>
      </c>
      <c r="F4" s="58" t="n"/>
    </row>
    <row r="5">
      <c r="A5" s="58" t="n"/>
      <c r="B5" s="79" t="inlineStr">
        <is>
          <t>SaaS / Technology</t>
        </is>
      </c>
      <c r="C5" s="58" t="n"/>
      <c r="D5" s="80" t="inlineStr">
        <is>
          <t>Prepared by:</t>
        </is>
      </c>
      <c r="E5" s="81" t="inlineStr">
        <is>
          <t>Saad Rashid, CFA</t>
        </is>
      </c>
      <c r="F5" s="58" t="n"/>
    </row>
    <row r="6" ht="17" customHeight="1" thickBot="1">
      <c r="A6" s="58" t="n"/>
      <c r="B6" s="83" t="n"/>
      <c r="C6" s="83" t="n"/>
      <c r="D6" s="83" t="n"/>
      <c r="E6" s="83" t="n"/>
      <c r="F6" s="58" t="n"/>
    </row>
    <row r="7" ht="10" customHeight="1">
      <c r="A7" s="58" t="n"/>
      <c r="B7" s="58" t="n"/>
      <c r="C7" s="58" t="n"/>
      <c r="D7" s="58" t="n"/>
      <c r="E7" s="58" t="n"/>
      <c r="F7" s="58" t="n"/>
    </row>
    <row r="8">
      <c r="A8" s="58" t="n"/>
      <c r="B8" s="19" t="inlineStr">
        <is>
          <t>VALUATION SUMMARY</t>
        </is>
      </c>
      <c r="C8" s="77" t="n"/>
      <c r="D8" s="77" t="n"/>
      <c r="E8" s="77" t="n"/>
      <c r="F8" s="58" t="n"/>
    </row>
    <row r="9" ht="8" customHeight="1">
      <c r="A9" s="58" t="n"/>
      <c r="B9" s="58" t="n"/>
      <c r="C9" s="58" t="n"/>
      <c r="D9" s="58" t="n"/>
      <c r="E9" s="58" t="n"/>
      <c r="F9" s="58" t="n"/>
    </row>
    <row r="10">
      <c r="A10" s="58" t="n"/>
      <c r="B10" s="126" t="inlineStr">
        <is>
          <t>Bear Case</t>
        </is>
      </c>
      <c r="C10" s="127" t="inlineStr">
        <is>
          <t>Base Case</t>
        </is>
      </c>
      <c r="D10" s="128" t="inlineStr">
        <is>
          <t>Bull Case</t>
        </is>
      </c>
      <c r="E10" s="129" t="inlineStr">
        <is>
          <t>Enterprise Value</t>
        </is>
      </c>
      <c r="F10" s="58" t="n"/>
    </row>
    <row r="11" ht="40" customHeight="1">
      <c r="A11" s="58" t="n"/>
      <c r="B11" s="169" t="n">
        <v>1.2</v>
      </c>
      <c r="C11" s="170" t="n">
        <v>1.9</v>
      </c>
      <c r="D11" s="171" t="n">
        <v>3.1</v>
      </c>
      <c r="E11" s="130" t="inlineStr">
        <is>
          <t>Range</t>
        </is>
      </c>
      <c r="F11" s="58" t="n"/>
    </row>
    <row r="12" ht="18" customHeight="1">
      <c r="A12" s="58" t="n"/>
      <c r="B12" s="131" t="inlineStr">
        <is>
          <t>EUR M</t>
        </is>
      </c>
      <c r="C12" s="132" t="inlineStr">
        <is>
          <t>EUR M</t>
        </is>
      </c>
      <c r="D12" s="133" t="inlineStr">
        <is>
          <t>EUR M</t>
        </is>
      </c>
      <c r="E12" s="134" t="inlineStr">
        <is>
          <t>1.2 – 3.1 EUR M</t>
        </is>
      </c>
      <c r="F12" s="58" t="n"/>
    </row>
    <row r="13" ht="10" customHeight="1">
      <c r="A13" s="58" t="n"/>
      <c r="B13" s="58" t="n"/>
      <c r="C13" s="58" t="n"/>
      <c r="D13" s="58" t="n"/>
      <c r="E13" s="58" t="n"/>
      <c r="F13" s="58" t="n"/>
    </row>
    <row r="14">
      <c r="A14" s="58" t="n"/>
      <c r="B14" s="19" t="inlineStr">
        <is>
          <t>KEY ASSUMPTIONS</t>
        </is>
      </c>
      <c r="C14" s="77" t="n"/>
      <c r="D14" s="77" t="n"/>
      <c r="E14" s="77" t="n"/>
      <c r="F14" s="58" t="n"/>
    </row>
    <row r="15">
      <c r="A15" s="58" t="n"/>
      <c r="B15" s="88" t="inlineStr">
        <is>
          <t>Metric</t>
        </is>
      </c>
      <c r="C15" s="86" t="inlineStr">
        <is>
          <t>Value</t>
        </is>
      </c>
      <c r="D15" s="90" t="inlineStr">
        <is>
          <t>Source</t>
        </is>
      </c>
      <c r="E15" s="84" t="n"/>
      <c r="F15" s="58" t="n"/>
    </row>
    <row r="16">
      <c r="A16" s="58" t="n"/>
      <c r="B16" s="92" t="inlineStr">
        <is>
          <t>WACC</t>
        </is>
      </c>
      <c r="C16" s="172">
        <f>Assumptions!C16</f>
        <v/>
      </c>
      <c r="D16" s="94" t="inlineStr">
        <is>
          <t>Assumptions Tab</t>
        </is>
      </c>
      <c r="E16" s="58" t="n"/>
      <c r="F16" s="58" t="n"/>
    </row>
    <row r="17">
      <c r="A17" s="58" t="n"/>
      <c r="B17" s="89" t="inlineStr">
        <is>
          <t>Terminal Growth Rate</t>
        </is>
      </c>
      <c r="C17" s="173">
        <f>Assumptions!C10</f>
        <v/>
      </c>
      <c r="D17" s="91" t="inlineStr">
        <is>
          <t>Assumptions Tab</t>
        </is>
      </c>
      <c r="E17" s="58" t="n"/>
      <c r="F17" s="58" t="n"/>
    </row>
    <row r="18">
      <c r="A18" s="58" t="n"/>
      <c r="B18" s="92" t="inlineStr">
        <is>
          <t>Revenue CAGR</t>
        </is>
      </c>
      <c r="C18" s="172">
        <f>Assumptions!C9</f>
        <v/>
      </c>
      <c r="D18" s="94" t="inlineStr">
        <is>
          <t>Assumptions Tab</t>
        </is>
      </c>
      <c r="E18" s="58" t="n"/>
      <c r="F18" s="58" t="n"/>
    </row>
    <row r="19">
      <c r="A19" s="58" t="n"/>
      <c r="B19" s="89" t="inlineStr">
        <is>
          <t>EBITDA Margin</t>
        </is>
      </c>
      <c r="C19" s="173">
        <f>Assumptions!C11</f>
        <v/>
      </c>
      <c r="D19" s="91" t="inlineStr">
        <is>
          <t>Assumptions Tab</t>
        </is>
      </c>
      <c r="E19" s="58" t="n"/>
      <c r="F19" s="58" t="n"/>
    </row>
    <row r="20">
      <c r="A20" s="58" t="n"/>
      <c r="B20" s="95" t="inlineStr">
        <is>
          <t>Projection Period</t>
        </is>
      </c>
      <c r="C20" s="96" t="inlineStr">
        <is>
          <t>5 Years</t>
        </is>
      </c>
      <c r="D20" s="97" t="inlineStr">
        <is>
          <t>Model Structure</t>
        </is>
      </c>
      <c r="E20" s="58" t="n"/>
      <c r="F20" s="58" t="n"/>
    </row>
    <row r="21" ht="10" customHeight="1">
      <c r="A21" s="58" t="n"/>
      <c r="B21" s="58" t="n"/>
      <c r="C21" s="58" t="n"/>
      <c r="D21" s="58" t="n"/>
      <c r="E21" s="58" t="n"/>
      <c r="F21" s="58" t="n"/>
    </row>
    <row r="22">
      <c r="A22" s="58" t="n"/>
      <c r="B22" s="19" t="inlineStr">
        <is>
          <t>COMPARABLE BENCHMARKS</t>
        </is>
      </c>
      <c r="C22" s="77" t="n"/>
      <c r="D22" s="77" t="n"/>
      <c r="E22" s="77" t="n"/>
      <c r="F22" s="58" t="n"/>
    </row>
    <row r="23">
      <c r="A23" s="58" t="n"/>
      <c r="B23" s="88" t="inlineStr">
        <is>
          <t>Company</t>
        </is>
      </c>
      <c r="C23" s="86" t="inlineStr">
        <is>
          <t>EV / EBITDA</t>
        </is>
      </c>
      <c r="D23" s="86" t="inlineStr">
        <is>
          <t>EV / Revenue</t>
        </is>
      </c>
      <c r="E23" s="102" t="inlineStr">
        <is>
          <t>P / E</t>
        </is>
      </c>
      <c r="F23" s="58" t="n"/>
    </row>
    <row r="24">
      <c r="A24" s="58" t="n"/>
      <c r="B24" s="92" t="n"/>
      <c r="C24" s="174" t="n"/>
      <c r="D24" s="174" t="n"/>
      <c r="E24" s="175" t="n"/>
      <c r="F24" s="58" t="n"/>
    </row>
    <row r="25">
      <c r="A25" s="58" t="n"/>
      <c r="B25" s="101" t="inlineStr">
        <is>
          <t>COMPARABLE BENCHMARKS</t>
        </is>
      </c>
      <c r="C25" s="99" t="n"/>
      <c r="D25" s="99" t="n"/>
      <c r="E25" s="104" t="n"/>
      <c r="F25" s="58" t="n"/>
    </row>
    <row r="26">
      <c r="A26" s="58" t="n"/>
      <c r="B26" s="107" t="inlineStr">
        <is>
          <t>Company</t>
        </is>
      </c>
      <c r="C26" s="108" t="inlineStr">
        <is>
          <t>EV / EBITDA</t>
        </is>
      </c>
      <c r="D26" s="108" t="inlineStr">
        <is>
          <t>EV / Revenue</t>
        </is>
      </c>
      <c r="E26" s="109" t="inlineStr">
        <is>
          <t>P / E</t>
        </is>
      </c>
      <c r="F26" s="58" t="n"/>
    </row>
    <row r="27">
      <c r="A27" s="58" t="n"/>
      <c r="B27" s="100" t="n"/>
      <c r="C27" s="176" t="n"/>
      <c r="D27" s="176" t="n"/>
      <c r="E27" s="177" t="n"/>
      <c r="F27" s="58" t="n"/>
    </row>
    <row r="28">
      <c r="A28" s="58" t="n"/>
      <c r="B28" s="92" t="n"/>
      <c r="C28" s="110" t="n"/>
      <c r="D28" s="110" t="n"/>
      <c r="E28" s="111" t="n"/>
      <c r="F28" s="58" t="n"/>
    </row>
    <row r="29" ht="17" customHeight="1" thickBot="1">
      <c r="A29" s="58" t="n"/>
      <c r="B29" s="112" t="n"/>
      <c r="C29" s="113" t="n"/>
      <c r="D29" s="113" t="n"/>
      <c r="E29" s="114" t="n"/>
      <c r="F29" s="58" t="n"/>
    </row>
    <row r="30">
      <c r="A30" s="58" t="n"/>
      <c r="B30" s="118" t="inlineStr">
        <is>
          <t>Mean</t>
        </is>
      </c>
      <c r="C30" s="178" t="n"/>
      <c r="D30" s="178" t="n"/>
      <c r="E30" s="179" t="n"/>
      <c r="F30" s="58" t="n"/>
    </row>
    <row r="31">
      <c r="A31" s="58" t="n"/>
      <c r="B31" s="115" t="inlineStr">
        <is>
          <t>Median</t>
        </is>
      </c>
      <c r="C31" s="180" t="n"/>
      <c r="D31" s="180" t="n"/>
      <c r="E31" s="181" t="n"/>
      <c r="F31" s="58" t="n"/>
    </row>
    <row r="32" ht="5" customHeight="1">
      <c r="A32" s="58" t="n"/>
      <c r="B32" s="58" t="n"/>
      <c r="C32" s="58" t="n"/>
      <c r="D32" s="58" t="n"/>
      <c r="E32" s="58" t="n"/>
      <c r="F32" s="58" t="n"/>
    </row>
    <row r="33">
      <c r="A33" s="58" t="n"/>
      <c r="B33" s="85" t="inlineStr">
        <is>
          <t>⚙ Live data populated by Python script</t>
        </is>
      </c>
      <c r="C33" s="58" t="n"/>
      <c r="D33" s="58" t="n"/>
      <c r="E33" s="58" t="n"/>
      <c r="F33" s="58" t="n"/>
    </row>
    <row r="34" ht="10" customHeight="1">
      <c r="A34" s="58" t="n"/>
      <c r="B34" s="58" t="n"/>
      <c r="C34" s="58" t="n"/>
      <c r="D34" s="58" t="n"/>
      <c r="E34" s="58" t="n"/>
      <c r="F34" s="58" t="n"/>
    </row>
    <row r="35">
      <c r="A35" s="58" t="n"/>
      <c r="B35" s="121" t="inlineStr">
        <is>
          <t>DISCLAIMER</t>
        </is>
      </c>
      <c r="C35" s="77" t="n"/>
      <c r="D35" s="77" t="n"/>
      <c r="E35" s="77" t="n"/>
      <c r="F35" s="58" t="n"/>
    </row>
    <row r="36">
      <c r="A36" s="58" t="n"/>
      <c r="B36" s="122" t="inlineStr">
        <is>
          <t>This valuation model is for illustrative purposes only. All projections are based on management estimates and publicly available information. This does not constitute investment advice.</t>
        </is>
      </c>
      <c r="F36" s="58" t="n"/>
    </row>
    <row r="37">
      <c r="A37" s="58" t="n"/>
      <c r="B37" s="58" t="n"/>
      <c r="C37" s="58" t="n"/>
      <c r="D37" s="58" t="n"/>
      <c r="E37" s="58" t="n"/>
      <c r="F37" s="58" t="n"/>
    </row>
    <row r="38">
      <c r="A38" s="58" t="n"/>
      <c r="B38" s="58" t="n"/>
      <c r="C38" s="58" t="n"/>
      <c r="D38" s="58" t="n"/>
      <c r="E38" s="58" t="n"/>
      <c r="F38" s="58" t="n"/>
    </row>
    <row r="39">
      <c r="A39" s="58" t="n"/>
      <c r="B39" s="58" t="n"/>
      <c r="C39" s="58" t="n"/>
      <c r="D39" s="58" t="n"/>
      <c r="E39" s="58" t="n"/>
      <c r="F39" s="58" t="n"/>
    </row>
    <row r="40">
      <c r="A40" s="58" t="n"/>
      <c r="B40" s="58" t="n"/>
      <c r="C40" s="58" t="n"/>
      <c r="D40" s="58" t="n"/>
      <c r="E40" s="58" t="n"/>
      <c r="F40" s="58" t="n"/>
    </row>
    <row r="41">
      <c r="A41" s="58" t="n"/>
      <c r="B41" s="58" t="n"/>
      <c r="C41" s="58" t="n"/>
      <c r="D41" s="58" t="n"/>
      <c r="E41" s="58" t="n"/>
      <c r="F41" s="58" t="n"/>
    </row>
    <row r="42">
      <c r="A42" s="58" t="n"/>
      <c r="B42" s="58" t="n"/>
      <c r="C42" s="58" t="n"/>
      <c r="D42" s="58" t="n"/>
      <c r="E42" s="58" t="n"/>
      <c r="F42" s="58" t="n"/>
    </row>
    <row r="43">
      <c r="A43" s="58" t="n"/>
      <c r="B43" s="58" t="n"/>
      <c r="C43" s="58" t="n"/>
      <c r="D43" s="58" t="n"/>
      <c r="E43" s="58" t="n"/>
      <c r="F43" s="58" t="n"/>
    </row>
    <row r="44">
      <c r="A44" s="58" t="n"/>
      <c r="B44" s="58" t="n"/>
      <c r="C44" s="58" t="n"/>
      <c r="D44" s="58" t="n"/>
      <c r="E44" s="58" t="n"/>
      <c r="F44" s="58" t="n"/>
    </row>
    <row r="45">
      <c r="A45" s="58" t="n"/>
      <c r="B45" s="58" t="n"/>
      <c r="C45" s="58" t="n"/>
      <c r="D45" s="58" t="n"/>
      <c r="E45" s="58" t="n"/>
      <c r="F45" s="58" t="n"/>
    </row>
    <row r="46">
      <c r="A46" s="58" t="n"/>
      <c r="B46" s="58" t="n"/>
      <c r="C46" s="58" t="n"/>
      <c r="D46" s="58" t="n"/>
      <c r="E46" s="58" t="n"/>
      <c r="F46" s="58" t="n"/>
    </row>
    <row r="47">
      <c r="A47" s="58" t="n"/>
      <c r="B47" s="58" t="n"/>
      <c r="C47" s="58" t="n"/>
      <c r="D47" s="58" t="n"/>
      <c r="E47" s="58" t="n"/>
      <c r="F47" s="58" t="n"/>
    </row>
    <row r="48">
      <c r="A48" s="58" t="n"/>
      <c r="B48" s="58" t="n"/>
      <c r="C48" s="58" t="n"/>
      <c r="D48" s="58" t="n"/>
      <c r="E48" s="58" t="n"/>
      <c r="F48" s="58" t="n"/>
    </row>
    <row r="49">
      <c r="A49" s="58" t="n"/>
      <c r="B49" s="58" t="n"/>
      <c r="C49" s="58" t="n"/>
      <c r="D49" s="58" t="n"/>
      <c r="E49" s="58" t="n"/>
      <c r="F49" s="58" t="n"/>
    </row>
    <row r="50">
      <c r="A50" s="58" t="n"/>
      <c r="B50" s="58" t="n"/>
      <c r="C50" s="58" t="n"/>
      <c r="D50" s="58" t="n"/>
      <c r="E50" s="58" t="n"/>
      <c r="F50" s="58" t="n"/>
    </row>
  </sheetData>
  <mergeCells count="1">
    <mergeCell ref="B36:E36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6" customWidth="1" min="3" max="3"/>
    <col width="14" customWidth="1" min="4" max="4"/>
    <col width="14" customWidth="1" min="5" max="5"/>
    <col width="13" customWidth="1" min="6" max="6"/>
    <col width="16" customWidth="1" min="7" max="7"/>
    <col width="16" customWidth="1" min="8" max="8"/>
    <col width="12" customWidth="1" min="9" max="9"/>
    <col width="12" customWidth="1" min="10" max="10"/>
  </cols>
  <sheetData>
    <row r="1" ht="22" customHeight="1">
      <c r="A1" s="182" t="inlineStr">
        <is>
          <t>Comparable Company Analysis  |  Pulled: 28 Apr 2026, 18:25</t>
        </is>
      </c>
    </row>
    <row r="3" ht="18" customHeight="1">
      <c r="A3" s="183" t="inlineStr">
        <is>
          <t>Company</t>
        </is>
      </c>
      <c r="B3" s="183" t="inlineStr">
        <is>
          <t>Ticker</t>
        </is>
      </c>
      <c r="C3" s="183" t="inlineStr">
        <is>
          <t>Market Cap ($B)</t>
        </is>
      </c>
      <c r="D3" s="183" t="inlineStr">
        <is>
          <t>EV ($B)</t>
        </is>
      </c>
      <c r="E3" s="183" t="inlineStr">
        <is>
          <t>Revenue ($B)</t>
        </is>
      </c>
      <c r="F3" s="183" t="inlineStr">
        <is>
          <t>EBITDA ($B)</t>
        </is>
      </c>
      <c r="G3" s="183" t="inlineStr">
        <is>
          <t>EV/EBITDA (x)</t>
        </is>
      </c>
      <c r="H3" s="183" t="inlineStr">
        <is>
          <t>EV/Revenue (x)</t>
        </is>
      </c>
      <c r="I3" s="183" t="inlineStr">
        <is>
          <t>P/E (x)</t>
        </is>
      </c>
      <c r="J3" s="183" t="inlineStr">
        <is>
          <t>Price ($)</t>
        </is>
      </c>
    </row>
    <row r="4" ht="16" customHeight="1">
      <c r="A4" s="184" t="inlineStr">
        <is>
          <t>Apple</t>
        </is>
      </c>
      <c r="B4" s="184" t="inlineStr">
        <is>
          <t>AAPL</t>
        </is>
      </c>
      <c r="C4" s="185" t="n">
        <v>3955</v>
      </c>
      <c r="D4" s="185" t="n">
        <v>3978.6</v>
      </c>
      <c r="E4" s="185" t="n">
        <v>435.6</v>
      </c>
      <c r="F4" s="185" t="n">
        <v>152.9</v>
      </c>
      <c r="G4" s="185" t="n">
        <v>26</v>
      </c>
      <c r="H4" s="185" t="n">
        <v>9.1</v>
      </c>
      <c r="I4" s="185" t="n">
        <v>33.6</v>
      </c>
      <c r="J4" s="185" t="n">
        <v>269.41</v>
      </c>
    </row>
    <row r="5" ht="16" customHeight="1">
      <c r="A5" s="184" t="inlineStr">
        <is>
          <t>Microsoft</t>
        </is>
      </c>
      <c r="B5" s="184" t="inlineStr">
        <is>
          <t>MSFT</t>
        </is>
      </c>
      <c r="C5" s="185" t="n">
        <v>3182.4</v>
      </c>
      <c r="D5" s="185" t="n">
        <v>3216.2</v>
      </c>
      <c r="E5" s="185" t="n">
        <v>305.5</v>
      </c>
      <c r="F5" s="185" t="n">
        <v>175.3</v>
      </c>
      <c r="G5" s="185" t="n">
        <v>18.4</v>
      </c>
      <c r="H5" s="185" t="n">
        <v>10.5</v>
      </c>
      <c r="I5" s="185" t="n">
        <v>26.7</v>
      </c>
      <c r="J5" s="185" t="n">
        <v>428.16</v>
      </c>
    </row>
    <row r="6" ht="16" customHeight="1">
      <c r="A6" s="184" t="inlineStr">
        <is>
          <t>Alphabet</t>
        </is>
      </c>
      <c r="B6" s="184" t="inlineStr">
        <is>
          <t>GOOGL</t>
        </is>
      </c>
      <c r="C6" s="185" t="n">
        <v>4225</v>
      </c>
      <c r="D6" s="185" t="n">
        <v>4165.1</v>
      </c>
      <c r="E6" s="185" t="n">
        <v>402.8</v>
      </c>
      <c r="F6" s="185" t="n">
        <v>150.2</v>
      </c>
      <c r="G6" s="185" t="n">
        <v>27.7</v>
      </c>
      <c r="H6" s="185" t="n">
        <v>10.3</v>
      </c>
      <c r="I6" s="185" t="n">
        <v>32</v>
      </c>
      <c r="J6" s="185" t="n">
        <v>349.25</v>
      </c>
    </row>
    <row r="7" ht="16" customHeight="1">
      <c r="A7" s="184" t="inlineStr">
        <is>
          <t>Meta</t>
        </is>
      </c>
      <c r="B7" s="184" t="inlineStr">
        <is>
          <t>META</t>
        </is>
      </c>
      <c r="C7" s="185" t="n">
        <v>1698.5</v>
      </c>
      <c r="D7" s="185" t="n">
        <v>1702</v>
      </c>
      <c r="E7" s="185" t="n">
        <v>201</v>
      </c>
      <c r="F7" s="185" t="n">
        <v>101.9</v>
      </c>
      <c r="G7" s="185" t="n">
        <v>16.7</v>
      </c>
      <c r="H7" s="185" t="n">
        <v>8.5</v>
      </c>
      <c r="I7" s="185" t="n">
        <v>28.1</v>
      </c>
      <c r="J7" s="185" t="n">
        <v>669.12</v>
      </c>
    </row>
    <row r="8" ht="16" customHeight="1">
      <c r="A8" s="184" t="inlineStr">
        <is>
          <t>Amazon</t>
        </is>
      </c>
      <c r="B8" s="184" t="inlineStr">
        <is>
          <t>AMZN</t>
        </is>
      </c>
      <c r="C8" s="185" t="n">
        <v>2797.2</v>
      </c>
      <c r="D8" s="185" t="n">
        <v>2852.7</v>
      </c>
      <c r="E8" s="185" t="n">
        <v>716.9</v>
      </c>
      <c r="F8" s="185" t="n">
        <v>145.7</v>
      </c>
      <c r="G8" s="185" t="n">
        <v>19.6</v>
      </c>
      <c r="H8" s="185" t="n">
        <v>4</v>
      </c>
      <c r="I8" s="185" t="n">
        <v>36</v>
      </c>
      <c r="J8" s="185" t="n">
        <v>260.1</v>
      </c>
    </row>
    <row r="9" ht="16" customHeight="1">
      <c r="A9" s="186" t="inlineStr">
        <is>
          <t>Mean</t>
        </is>
      </c>
      <c r="B9" s="186" t="inlineStr">
        <is>
          <t>—</t>
        </is>
      </c>
      <c r="C9" s="187" t="n">
        <v/>
      </c>
      <c r="D9" s="187" t="n">
        <v/>
      </c>
      <c r="E9" s="187" t="n">
        <v/>
      </c>
      <c r="F9" s="187" t="n">
        <v/>
      </c>
      <c r="G9" s="187" t="n">
        <v>21.7</v>
      </c>
      <c r="H9" s="187" t="n">
        <v>8.5</v>
      </c>
      <c r="I9" s="187" t="n">
        <v>31.3</v>
      </c>
      <c r="J9" s="187" t="n">
        <v/>
      </c>
    </row>
    <row r="10" ht="16" customHeight="1">
      <c r="A10" s="186" t="inlineStr">
        <is>
          <t>Median</t>
        </is>
      </c>
      <c r="B10" s="186" t="inlineStr">
        <is>
          <t>—</t>
        </is>
      </c>
      <c r="C10" s="187" t="n">
        <v/>
      </c>
      <c r="D10" s="187" t="n">
        <v/>
      </c>
      <c r="E10" s="187" t="n">
        <v/>
      </c>
      <c r="F10" s="187" t="n">
        <v/>
      </c>
      <c r="G10" s="187" t="n">
        <v>19.6</v>
      </c>
      <c r="H10" s="187" t="n">
        <v>9.1</v>
      </c>
      <c r="I10" s="187" t="n">
        <v>32</v>
      </c>
      <c r="J10" s="187" t="n">
        <v/>
      </c>
    </row>
    <row r="11" ht="16" customHeight="1">
      <c r="A11" s="186" t="inlineStr">
        <is>
          <t>Min</t>
        </is>
      </c>
      <c r="B11" s="186" t="inlineStr">
        <is>
          <t>—</t>
        </is>
      </c>
      <c r="C11" s="187" t="n">
        <v/>
      </c>
      <c r="D11" s="187" t="n">
        <v/>
      </c>
      <c r="E11" s="187" t="n">
        <v/>
      </c>
      <c r="F11" s="187" t="n">
        <v/>
      </c>
      <c r="G11" s="187" t="n">
        <v>16.7</v>
      </c>
      <c r="H11" s="187" t="n">
        <v>4</v>
      </c>
      <c r="I11" s="187" t="n">
        <v>26.7</v>
      </c>
      <c r="J11" s="187" t="n">
        <v/>
      </c>
    </row>
    <row r="12" ht="16" customHeight="1">
      <c r="A12" s="186" t="inlineStr">
        <is>
          <t>Max</t>
        </is>
      </c>
      <c r="B12" s="186" t="inlineStr">
        <is>
          <t>—</t>
        </is>
      </c>
      <c r="C12" s="187" t="n">
        <v/>
      </c>
      <c r="D12" s="187" t="n">
        <v/>
      </c>
      <c r="E12" s="187" t="n">
        <v/>
      </c>
      <c r="F12" s="187" t="n">
        <v/>
      </c>
      <c r="G12" s="187" t="n">
        <v>27.7</v>
      </c>
      <c r="H12" s="187" t="n">
        <v>10.5</v>
      </c>
      <c r="I12" s="187" t="n">
        <v>36</v>
      </c>
      <c r="J12" s="187" t="n"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Saad Rashid</dc:creator>
  <dcterms:created xsi:type="dcterms:W3CDTF">2026-04-14T08:57:22Z</dcterms:created>
  <dcterms:modified xsi:type="dcterms:W3CDTF">2026-04-28T16:25:14Z</dcterms:modified>
  <cp:lastModifiedBy>Saad Rashid</cp:lastModifiedBy>
</cp:coreProperties>
</file>